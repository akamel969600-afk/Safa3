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abdelrhman.gamal\Downloads\222\"/>
    </mc:Choice>
  </mc:AlternateContent>
  <xr:revisionPtr revIDLastSave="0" documentId="13_ncr:1_{1283B627-3D81-4776-A13B-806092F5E66C}" xr6:coauthVersionLast="47" xr6:coauthVersionMax="47" xr10:uidLastSave="{00000000-0000-0000-0000-000000000000}"/>
  <bookViews>
    <workbookView xWindow="-108" yWindow="-108" windowWidth="23256" windowHeight="12456" tabRatio="1000" firstSheet="1" activeTab="7" xr2:uid="{00000000-000D-0000-FFFF-FFFF00000000}"/>
  </bookViews>
  <sheets>
    <sheet name="README" sheetId="1" r:id="rId1"/>
    <sheet name="Dashboard_Map" sheetId="2" r:id="rId2"/>
    <sheet name="Financial_Overview" sheetId="3" r:id="rId3"/>
    <sheet name="Cash_Flow" sheetId="4" r:id="rId4"/>
    <sheet name="Strategy_Operations" sheetId="5" r:id="rId5"/>
    <sheet name="Pipeline_Revenue" sheetId="6" r:id="rId6"/>
    <sheet name="Sales_Raw_Opportunities" sheetId="7" r:id="rId7"/>
    <sheet name="Sales_Raw_Operations" sheetId="8" r:id="rId8"/>
    <sheet name="Sales_Performance" sheetId="9" r:id="rId9"/>
    <sheet name="Lists" sheetId="10" state="hidden" r:id="rId10"/>
    <sheet name="Sales_Stage_Details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9" l="1"/>
  <c r="H14" i="9"/>
  <c r="H13" i="9"/>
  <c r="H12" i="9"/>
  <c r="H11" i="9"/>
  <c r="C11" i="9"/>
  <c r="B11" i="9"/>
  <c r="H10" i="9"/>
  <c r="H9" i="9"/>
  <c r="H8" i="9"/>
  <c r="D8" i="9"/>
  <c r="C8" i="9"/>
  <c r="C14" i="9" s="1"/>
  <c r="B8" i="9"/>
  <c r="B14" i="9" s="1"/>
  <c r="D14" i="9" s="1"/>
  <c r="H7" i="9"/>
  <c r="D7" i="9"/>
  <c r="C7" i="9"/>
  <c r="C13" i="9" s="1"/>
  <c r="B7" i="9"/>
  <c r="B13" i="9" s="1"/>
  <c r="H6" i="9"/>
  <c r="D6" i="9"/>
  <c r="C6" i="9"/>
  <c r="C12" i="9" s="1"/>
  <c r="B6" i="9"/>
  <c r="B12" i="9" s="1"/>
  <c r="D12" i="9" s="1"/>
  <c r="H5" i="9"/>
  <c r="G23" i="7"/>
  <c r="G22" i="7"/>
  <c r="G21" i="7"/>
  <c r="G20" i="7"/>
  <c r="G19" i="7"/>
  <c r="G18" i="7"/>
  <c r="G17" i="7"/>
  <c r="G16" i="7"/>
  <c r="G15" i="7"/>
  <c r="G14" i="7"/>
  <c r="G10" i="7"/>
  <c r="G9" i="7"/>
  <c r="G8" i="7"/>
  <c r="G7" i="7"/>
  <c r="G6" i="7"/>
  <c r="G5" i="7"/>
  <c r="G4" i="7"/>
  <c r="D29" i="6"/>
  <c r="C29" i="6"/>
  <c r="B29" i="6"/>
  <c r="E28" i="6"/>
  <c r="F28" i="6" s="1"/>
  <c r="D28" i="6"/>
  <c r="C28" i="6"/>
  <c r="B28" i="6"/>
  <c r="E27" i="6"/>
  <c r="D27" i="6"/>
  <c r="C27" i="6"/>
  <c r="B27" i="6"/>
  <c r="F27" i="6" s="1"/>
  <c r="C23" i="6"/>
  <c r="B23" i="6"/>
  <c r="D22" i="6"/>
  <c r="D21" i="6"/>
  <c r="H20" i="6"/>
  <c r="D20" i="6"/>
  <c r="D19" i="6"/>
  <c r="D18" i="6"/>
  <c r="B5" i="6" s="1"/>
  <c r="D17" i="6"/>
  <c r="D16" i="6"/>
  <c r="D15" i="6"/>
  <c r="D14" i="6"/>
  <c r="D13" i="6"/>
  <c r="D12" i="6"/>
  <c r="D11" i="6"/>
  <c r="F10" i="5"/>
  <c r="G10" i="5" s="1"/>
  <c r="F9" i="5"/>
  <c r="G9" i="5" s="1"/>
  <c r="C17" i="4"/>
  <c r="B17" i="4"/>
  <c r="E16" i="4"/>
  <c r="E17" i="4" s="1"/>
  <c r="D16" i="4"/>
  <c r="F16" i="4" s="1"/>
  <c r="C16" i="4"/>
  <c r="E15" i="4"/>
  <c r="D15" i="4"/>
  <c r="C15" i="4"/>
  <c r="B15" i="4"/>
  <c r="F15" i="4" s="1"/>
  <c r="B7" i="4" s="1"/>
  <c r="E14" i="4"/>
  <c r="D14" i="4"/>
  <c r="C14" i="4"/>
  <c r="B14" i="4"/>
  <c r="F14" i="4" s="1"/>
  <c r="B6" i="4" s="1"/>
  <c r="F13" i="4"/>
  <c r="F12" i="4"/>
  <c r="F11" i="4"/>
  <c r="B5" i="4"/>
  <c r="E16" i="3"/>
  <c r="D16" i="3"/>
  <c r="C16" i="3"/>
  <c r="B16" i="3"/>
  <c r="F15" i="3"/>
  <c r="B8" i="3" s="1"/>
  <c r="F14" i="3"/>
  <c r="E14" i="3"/>
  <c r="D14" i="3"/>
  <c r="C14" i="3"/>
  <c r="B14" i="3"/>
  <c r="F13" i="3"/>
  <c r="F16" i="3" s="1"/>
  <c r="B7" i="3" s="1"/>
  <c r="E13" i="3"/>
  <c r="D13" i="3"/>
  <c r="C13" i="3"/>
  <c r="B13" i="3"/>
  <c r="F12" i="3"/>
  <c r="F11" i="3"/>
  <c r="B5" i="3"/>
  <c r="F29" i="6" l="1"/>
  <c r="F17" i="4"/>
  <c r="D17" i="4"/>
  <c r="E29" i="6"/>
  <c r="D23" i="6"/>
  <c r="B18" i="4"/>
  <c r="B6" i="3"/>
  <c r="C11" i="4" l="1"/>
  <c r="C18" i="4" s="1"/>
  <c r="B19" i="4"/>
  <c r="C19" i="4" l="1"/>
  <c r="D11" i="4"/>
  <c r="D18" i="4" s="1"/>
  <c r="D19" i="4" l="1"/>
  <c r="E11" i="4"/>
  <c r="E18" i="4" s="1"/>
  <c r="E19" i="4" l="1"/>
  <c r="F18" i="4"/>
  <c r="B8" i="4" l="1"/>
  <c r="F19" i="4"/>
</calcChain>
</file>

<file path=xl/sharedStrings.xml><?xml version="1.0" encoding="utf-8"?>
<sst xmlns="http://schemas.openxmlformats.org/spreadsheetml/2006/main" count="642" uniqueCount="366">
  <si>
    <t>SAAFAH Dashboard Google Sheets Template</t>
  </si>
  <si>
    <t>Built from the uploaded HTML dashboard structure. Sheets are organized to match the dashboard tabs, including Sales Performance.</t>
  </si>
  <si>
    <t>How to use</t>
  </si>
  <si>
    <t>1. Upload this XLSX file to Google Sheets.</t>
  </si>
  <si>
    <t>2. Update the blue-font input cells and the raw data tables.</t>
  </si>
  <si>
    <t>3. Keep formulas intact; Google Sheets will recalculate automatically.</t>
  </si>
  <si>
    <t>4. Use the Dashboard_Map sheet to connect each dashboard section to the right tab/range.</t>
  </si>
  <si>
    <t>5. Sales Performance has both a page sheet and raw detail sheets for proposals and operations.</t>
  </si>
  <si>
    <t>Workbook Tabs</t>
  </si>
  <si>
    <t>Sheet</t>
  </si>
  <si>
    <t>Purpose</t>
  </si>
  <si>
    <t>README</t>
  </si>
  <si>
    <t>Usage notes and import guidance</t>
  </si>
  <si>
    <t>Dashboard_Map</t>
  </si>
  <si>
    <t>Mapping between dashboard tabs/sections and spreadsheet tabs</t>
  </si>
  <si>
    <t>Financial_Overview</t>
  </si>
  <si>
    <t>Quarterly P&amp;L inputs and KPI formulas</t>
  </si>
  <si>
    <t>Cash_Flow</t>
  </si>
  <si>
    <t>Quarterly cash flow inputs linked to financial data</t>
  </si>
  <si>
    <t>Strategy_Operations</t>
  </si>
  <si>
    <t>Narrative content, service pillars, sectors, action plan, revenue mix</t>
  </si>
  <si>
    <t>Pipeline_Revenue</t>
  </si>
  <si>
    <t>Active proposals, monthly revenue ramp, and collection schedule</t>
  </si>
  <si>
    <t>Sales_Performance</t>
  </si>
  <si>
    <t>Sales KPI card inputs, funnel, probability buckets, top clients, and key insights</t>
  </si>
  <si>
    <t>Sales_Raw_Opportunities</t>
  </si>
  <si>
    <t>Detailed proposals table used by sales page calculations</t>
  </si>
  <si>
    <t>Sales_Raw_Operations</t>
  </si>
  <si>
    <t>Operations readiness table used by sales page</t>
  </si>
  <si>
    <t>Source Reference</t>
  </si>
  <si>
    <t>Source dashboard: uploaded HTML file (index (5).html)</t>
  </si>
  <si>
    <t>Note: the HTML already contains a Sales Performance tab; this workbook includes a dedicated matching sheet plus raw sales data sheets.</t>
  </si>
  <si>
    <t>Dashboard Section Map</t>
  </si>
  <si>
    <t>Dashboard Page</t>
  </si>
  <si>
    <t>Dashboard Element</t>
  </si>
  <si>
    <t>Spreadsheet Tab</t>
  </si>
  <si>
    <t>Range / Section</t>
  </si>
  <si>
    <t>Update Type</t>
  </si>
  <si>
    <t>Notes</t>
  </si>
  <si>
    <t>Financial Overview</t>
  </si>
  <si>
    <t>KPI Cards</t>
  </si>
  <si>
    <t>A4:D8</t>
  </si>
  <si>
    <t>Formula-driven</t>
  </si>
  <si>
    <t>Revenue, GP, Net P/L, Overheads</t>
  </si>
  <si>
    <t>P&amp;L Summary Table</t>
  </si>
  <si>
    <t>A10:F16</t>
  </si>
  <si>
    <t>Input + Formula</t>
  </si>
  <si>
    <t>Update revenue, cost of revenue, overheads</t>
  </si>
  <si>
    <t>Cash Flow</t>
  </si>
  <si>
    <t>Opening, inflow, outflow, closing</t>
  </si>
  <si>
    <t>Cash Flow Summary Table</t>
  </si>
  <si>
    <t>A10:F19</t>
  </si>
  <si>
    <t>Input + Link</t>
  </si>
  <si>
    <t>Collections editable; expenses linked to Financial_Overview</t>
  </si>
  <si>
    <t>Strategy &amp; Operations</t>
  </si>
  <si>
    <t>Mission / Narrative</t>
  </si>
  <si>
    <t>A4:B5</t>
  </si>
  <si>
    <t>Editable text</t>
  </si>
  <si>
    <t>Mission and context</t>
  </si>
  <si>
    <t>Service Pillars</t>
  </si>
  <si>
    <t>A8:B10</t>
  </si>
  <si>
    <t>3 pillars</t>
  </si>
  <si>
    <t>Target Sectors</t>
  </si>
  <si>
    <t>A13:C15</t>
  </si>
  <si>
    <t>Government and non-government</t>
  </si>
  <si>
    <t>Action Plan / Goals</t>
  </si>
  <si>
    <t>A18:B23</t>
  </si>
  <si>
    <t>Approach and goals</t>
  </si>
  <si>
    <t>Revenue Mix</t>
  </si>
  <si>
    <t>E8:G10</t>
  </si>
  <si>
    <t>Linked to Pipeline_Revenue monthly revenue</t>
  </si>
  <si>
    <t>Pipeline &amp; Revenue</t>
  </si>
  <si>
    <t>Summary KPIs</t>
  </si>
  <si>
    <t>A4:C6</t>
  </si>
  <si>
    <t>Mixed</t>
  </si>
  <si>
    <t>Annual pipeline formula + manual Q1-Q2 metric</t>
  </si>
  <si>
    <t>Monthly Revenue Ramp</t>
  </si>
  <si>
    <t>A10:E23</t>
  </si>
  <si>
    <t>Monthly advisory/training revenue</t>
  </si>
  <si>
    <t>Active Proposals</t>
  </si>
  <si>
    <t>G10:I20</t>
  </si>
  <si>
    <t>Editable table</t>
  </si>
  <si>
    <t>Proposal list shown in dashboard</t>
  </si>
  <si>
    <t>Collection Schedule</t>
  </si>
  <si>
    <t>A26:F29</t>
  </si>
  <si>
    <t>Linked</t>
  </si>
  <si>
    <t>Directly linked to Cash_Flow collections</t>
  </si>
  <si>
    <t>Sales Performance</t>
  </si>
  <si>
    <t>A4:G8</t>
  </si>
  <si>
    <t>Editable source table</t>
  </si>
  <si>
    <t>Matches dashboard card values incl. month/week notes</t>
  </si>
  <si>
    <t>Sales Funnel</t>
  </si>
  <si>
    <t>A10:E14</t>
  </si>
  <si>
    <t>Linked / editable</t>
  </si>
  <si>
    <t>Feeds funnel counts and values</t>
  </si>
  <si>
    <t>Probability Breakdown</t>
  </si>
  <si>
    <t>G4:I14</t>
  </si>
  <si>
    <t>Counts probabilities from raw opportunities</t>
  </si>
  <si>
    <t>Top Clients</t>
  </si>
  <si>
    <t>G16:I24</t>
  </si>
  <si>
    <t>Uses client names + SUMIF against raw opportunities</t>
  </si>
  <si>
    <t>Stage Detail Breakdown</t>
  </si>
  <si>
    <t>Sales_Stage_Details</t>
  </si>
  <si>
    <t>A4:G200</t>
  </si>
  <si>
    <t>Editable feed</t>
  </si>
  <si>
    <t>Client-level this month / this week detail for Leads, Active Proposal, Submitted, Won</t>
  </si>
  <si>
    <t>Submitted Proposals</t>
  </si>
  <si>
    <t>A3:I22</t>
  </si>
  <si>
    <t>Editable raw table</t>
  </si>
  <si>
    <t>Maintained in raw sheet</t>
  </si>
  <si>
    <t>Operations Readiness</t>
  </si>
  <si>
    <t>A3:C13</t>
  </si>
  <si>
    <t>Quarterly P&amp;L structure for the dashboard financial tab.</t>
  </si>
  <si>
    <t>KPI</t>
  </si>
  <si>
    <t>Value</t>
  </si>
  <si>
    <t>Unit</t>
  </si>
  <si>
    <t>Source</t>
  </si>
  <si>
    <t>Revenue 2026</t>
  </si>
  <si>
    <t>SAR</t>
  </si>
  <si>
    <t>Year total revenue</t>
  </si>
  <si>
    <t>Gross Profit 2026</t>
  </si>
  <si>
    <t>Year total gross profit</t>
  </si>
  <si>
    <t>Net P/L 2026</t>
  </si>
  <si>
    <t>Year total net profit / loss</t>
  </si>
  <si>
    <t>Overheads 2026</t>
  </si>
  <si>
    <t>Year total overheads</t>
  </si>
  <si>
    <t>P&amp;L Summary — Quarterly Forecast 2026</t>
  </si>
  <si>
    <t>Description</t>
  </si>
  <si>
    <t>Q1</t>
  </si>
  <si>
    <t>Q2</t>
  </si>
  <si>
    <t>Q3</t>
  </si>
  <si>
    <t>Q4</t>
  </si>
  <si>
    <t>Year 2026</t>
  </si>
  <si>
    <t>Revenue</t>
  </si>
  <si>
    <t>Cost of Revenue</t>
  </si>
  <si>
    <t>Gross Profit</t>
  </si>
  <si>
    <t>GP %</t>
  </si>
  <si>
    <t>Overheads</t>
  </si>
  <si>
    <t>Net Profit / Loss</t>
  </si>
  <si>
    <t>Quarterly cash flow structure for the dashboard cash flow tab.</t>
  </si>
  <si>
    <t>Opening Balance</t>
  </si>
  <si>
    <t>Opening cash at start of year</t>
  </si>
  <si>
    <t>Total Cash Inflow</t>
  </si>
  <si>
    <t>Year total collections</t>
  </si>
  <si>
    <t>Total Cash Outflow</t>
  </si>
  <si>
    <t>Cost of revenue + G&amp;A expenses</t>
  </si>
  <si>
    <t>Closing Balance</t>
  </si>
  <si>
    <t>Year-end closing cash position</t>
  </si>
  <si>
    <t>Cash Flow Summary — Quarterly 2026</t>
  </si>
  <si>
    <t>Advisory Collections</t>
  </si>
  <si>
    <t>Training Collections</t>
  </si>
  <si>
    <t>G&amp;A Expenses</t>
  </si>
  <si>
    <t>Net Cash Flow</t>
  </si>
  <si>
    <t>Cash Injection Required</t>
  </si>
  <si>
    <t>Narrative content and revenue mix for the strategy tab.</t>
  </si>
  <si>
    <t>Mission / Context</t>
  </si>
  <si>
    <t>Section</t>
  </si>
  <si>
    <t>Content</t>
  </si>
  <si>
    <t>Operation Motive in Saudi Society</t>
  </si>
  <si>
    <t>Supporting community welfare and social development — encouraging volunteerism and community participation. Contributing to national development goals aligned with Saudi Vision 2030, promoting transparency and accountability under the National Center for Non-Profit Sector.</t>
  </si>
  <si>
    <t>Pillar</t>
  </si>
  <si>
    <t>Category</t>
  </si>
  <si>
    <t>Revenue (SAR)</t>
  </si>
  <si>
    <t>Share</t>
  </si>
  <si>
    <t>Advisory Services</t>
  </si>
  <si>
    <t>Strategic advisory for government and non-government sectors — regulatory compliance, public programs, and partnerships</t>
  </si>
  <si>
    <t>Advisory</t>
  </si>
  <si>
    <t>Training Courses</t>
  </si>
  <si>
    <t>Specialized training programs tailored for institutional and private sector capacity building</t>
  </si>
  <si>
    <t>Training</t>
  </si>
  <si>
    <t>Innovation &amp; Technology</t>
  </si>
  <si>
    <t>Scalable, compliant, and innovative technology-driven solutions for social impact</t>
  </si>
  <si>
    <t>Sector</t>
  </si>
  <si>
    <t>Key Point 1</t>
  </si>
  <si>
    <t>Key Point 2</t>
  </si>
  <si>
    <t>Government Sector</t>
  </si>
  <si>
    <t>Training, advisory, and innovation support to government institutions</t>
  </si>
  <si>
    <t>Leverage regulatory compliance, public sector programs, and government partnerships</t>
  </si>
  <si>
    <t>Non-Government Sector</t>
  </si>
  <si>
    <t>Engage NGOs, private foundations, and social enterprises</t>
  </si>
  <si>
    <t>Tailored programs in advisory, innovation, and technology services</t>
  </si>
  <si>
    <t>Action Plan &amp; Goals</t>
  </si>
  <si>
    <t>Type</t>
  </si>
  <si>
    <t>Detail</t>
  </si>
  <si>
    <t>Approach 1</t>
  </si>
  <si>
    <t>Map key government agencies and NGOs aligned with mission</t>
  </si>
  <si>
    <t>Approach 2</t>
  </si>
  <si>
    <t>Develop sector-specific solutions and service packages</t>
  </si>
  <si>
    <t>Approach 3</t>
  </si>
  <si>
    <t>Strengthen relationships via workshops, consultations, and pilot projects</t>
  </si>
  <si>
    <t>Goal 1</t>
  </si>
  <si>
    <t>Position as a trusted partner for both government and non-government sectors</t>
  </si>
  <si>
    <t>Goal 2</t>
  </si>
  <si>
    <t>Expand reach, credibility, and impact by year-end</t>
  </si>
  <si>
    <t>Value Proposition</t>
  </si>
  <si>
    <t>Item</t>
  </si>
  <si>
    <t>Value Proposition 1</t>
  </si>
  <si>
    <t>Act as a bridge between government initiatives and community/non-profit impact</t>
  </si>
  <si>
    <t>Value Proposition 2</t>
  </si>
  <si>
    <t>Provide specialized services that are compliant, innovative, and scalable</t>
  </si>
  <si>
    <t>Value Proposition 3</t>
  </si>
  <si>
    <t>Advisory drives 60% of revenue — high-margin strategic consulting</t>
  </si>
  <si>
    <t>Value Proposition 4</t>
  </si>
  <si>
    <t>Training at 40% — scalable capacity building with recurring revenue potential</t>
  </si>
  <si>
    <t>Active pipeline, monthly revenue ramp, and collection schedule.</t>
  </si>
  <si>
    <t>Metric</t>
  </si>
  <si>
    <t>Note</t>
  </si>
  <si>
    <t>Total Revenue Pipeline 2026</t>
  </si>
  <si>
    <t>Formula from monthly revenue ramp</t>
  </si>
  <si>
    <t>Proposals Q1–Q2 2026</t>
  </si>
  <si>
    <t>Manual source from current dashboard</t>
  </si>
  <si>
    <t>Count of active proposal rows</t>
  </si>
  <si>
    <t>Monthly Revenue Ramp 2026</t>
  </si>
  <si>
    <t>Month</t>
  </si>
  <si>
    <t>Advisory Revenue</t>
  </si>
  <si>
    <t>Training Revenue</t>
  </si>
  <si>
    <t>Total Revenue</t>
  </si>
  <si>
    <t>Quarter</t>
  </si>
  <si>
    <t>Client</t>
  </si>
  <si>
    <t>Proposal Value (SAR)</t>
  </si>
  <si>
    <t>Jan</t>
  </si>
  <si>
    <t>NADEC</t>
  </si>
  <si>
    <t>Current dashboard item</t>
  </si>
  <si>
    <t>Feb</t>
  </si>
  <si>
    <t>MEP</t>
  </si>
  <si>
    <t>Mar</t>
  </si>
  <si>
    <t>ITQAN ESG</t>
  </si>
  <si>
    <t>Apr</t>
  </si>
  <si>
    <t>TADAWUL</t>
  </si>
  <si>
    <t>May</t>
  </si>
  <si>
    <t>MDL BEAST</t>
  </si>
  <si>
    <t>Jun</t>
  </si>
  <si>
    <t>OBEKAN</t>
  </si>
  <si>
    <t>Jul</t>
  </si>
  <si>
    <t>YAMAMA CEMENT</t>
  </si>
  <si>
    <t>Aug</t>
  </si>
  <si>
    <t>PIF — CFG</t>
  </si>
  <si>
    <t>Sep</t>
  </si>
  <si>
    <t>Financial Academy</t>
  </si>
  <si>
    <t>Oct</t>
  </si>
  <si>
    <t>Total</t>
  </si>
  <si>
    <t>Nov</t>
  </si>
  <si>
    <t>Dec</t>
  </si>
  <si>
    <t>Year Total</t>
  </si>
  <si>
    <t>Collection Schedule 2026 — 60-Day Payment Terms</t>
  </si>
  <si>
    <t>Total Collections</t>
  </si>
  <si>
    <t>Sales Raw Opportunities</t>
  </si>
  <si>
    <t>Detailed proposal table from the dashboard sales page.</t>
  </si>
  <si>
    <t>Opportunity</t>
  </si>
  <si>
    <t>BD Lead</t>
  </si>
  <si>
    <t>Submitted</t>
  </si>
  <si>
    <t>Value_SAR</t>
  </si>
  <si>
    <t>Probability_Pct</t>
  </si>
  <si>
    <t>Weighted_Value_SAR</t>
  </si>
  <si>
    <t>Stage</t>
  </si>
  <si>
    <t>ESG Certificate</t>
  </si>
  <si>
    <t>Salwa AlSudairy</t>
  </si>
  <si>
    <t>Jan 2026</t>
  </si>
  <si>
    <t>Imported from dashboard</t>
  </si>
  <si>
    <t>SIDF</t>
  </si>
  <si>
    <t>ESG Workshop</t>
  </si>
  <si>
    <t>Sep 2025</t>
  </si>
  <si>
    <t>KSA Sustainability Champions</t>
  </si>
  <si>
    <t>Dec 2025</t>
  </si>
  <si>
    <t>Tadawul Group</t>
  </si>
  <si>
    <t>GDP ESG Workshop</t>
  </si>
  <si>
    <t>Oct 2025</t>
  </si>
  <si>
    <t>Center For Gov.</t>
  </si>
  <si>
    <t>ESG Course Development</t>
  </si>
  <si>
    <t>Won</t>
  </si>
  <si>
    <t>GOSI</t>
  </si>
  <si>
    <t>Enablement Program</t>
  </si>
  <si>
    <t>Feb 2026</t>
  </si>
  <si>
    <t>ESG &amp; Corp. Governance</t>
  </si>
  <si>
    <t>Aug 2025</t>
  </si>
  <si>
    <t>KACST</t>
  </si>
  <si>
    <t>Elevating KACST's ESG Story</t>
  </si>
  <si>
    <t>KAUST</t>
  </si>
  <si>
    <t>From Lab to Kingdom</t>
  </si>
  <si>
    <t>King Saud Univ.</t>
  </si>
  <si>
    <t>Future Proofing KSU Graduates</t>
  </si>
  <si>
    <t>Middle Beast</t>
  </si>
  <si>
    <t>Attache ESG Enablement</t>
  </si>
  <si>
    <t>Mar 2026</t>
  </si>
  <si>
    <t>ESG Integration</t>
  </si>
  <si>
    <t>Gihan Hyde</t>
  </si>
  <si>
    <t>AI In Action</t>
  </si>
  <si>
    <t>CMA</t>
  </si>
  <si>
    <t>Green Finance Think Tank</t>
  </si>
  <si>
    <t>ITQAN</t>
  </si>
  <si>
    <t>Obeikan</t>
  </si>
  <si>
    <t>RPI ESG Workshop</t>
  </si>
  <si>
    <t>Nov 2025</t>
  </si>
  <si>
    <t>Tadawul ESG Course</t>
  </si>
  <si>
    <t>PIF</t>
  </si>
  <si>
    <t>PIF Offsite Proposal</t>
  </si>
  <si>
    <t>Lost</t>
  </si>
  <si>
    <t>Sales Raw Operations</t>
  </si>
  <si>
    <t>Operations readiness table from the dashboard sales page.</t>
  </si>
  <si>
    <t>Operation Item</t>
  </si>
  <si>
    <t>Status</t>
  </si>
  <si>
    <t>Progress_Pct</t>
  </si>
  <si>
    <t>Bank Account Activation</t>
  </si>
  <si>
    <t>Completed</t>
  </si>
  <si>
    <t>National Address</t>
  </si>
  <si>
    <t>External Audit</t>
  </si>
  <si>
    <t>In Process</t>
  </si>
  <si>
    <t>Website</t>
  </si>
  <si>
    <t>Advisory Committee</t>
  </si>
  <si>
    <t>Governance Policies</t>
  </si>
  <si>
    <t>Recruitment</t>
  </si>
  <si>
    <t>ZATCA</t>
  </si>
  <si>
    <t>Pending</t>
  </si>
  <si>
    <t>Mentorship Platform</t>
  </si>
  <si>
    <t>Commercial Registration</t>
  </si>
  <si>
    <t>Dedicated sales page matching the dashboard sales tab.</t>
  </si>
  <si>
    <t>KPI Card Source Table</t>
  </si>
  <si>
    <t>Count</t>
  </si>
  <si>
    <t>This_Month_Count</t>
  </si>
  <si>
    <t>This_Month_Value_or_Note</t>
  </si>
  <si>
    <t>This_Week_Count</t>
  </si>
  <si>
    <t>Probability Bucket</t>
  </si>
  <si>
    <t>Proposal Count</t>
  </si>
  <si>
    <t>Total Leads</t>
  </si>
  <si>
    <t>1000000</t>
  </si>
  <si>
    <t>Auto-count from raw opportunities</t>
  </si>
  <si>
    <t>Proposals Submitted</t>
  </si>
  <si>
    <t>Won This Year</t>
  </si>
  <si>
    <t>Conversion_Rate</t>
  </si>
  <si>
    <t>LEADS</t>
  </si>
  <si>
    <t>From KPI table</t>
  </si>
  <si>
    <t>ACTIVE PROPOSALS</t>
  </si>
  <si>
    <t>SUBMITTED</t>
  </si>
  <si>
    <t>Separate dashboard bucket</t>
  </si>
  <si>
    <t>WON</t>
  </si>
  <si>
    <t>Top Clients by Proposal Value</t>
  </si>
  <si>
    <t>Stage Detail Feed</t>
  </si>
  <si>
    <t>Rank</t>
  </si>
  <si>
    <t>Total_Value_SAR</t>
  </si>
  <si>
    <t>Use the new Sales_Stage_Details sheet for client-level This Month / This Week breakdown shown in the dashboard.</t>
  </si>
  <si>
    <t>Submitted proposals are stored in Sales_Raw_Opportunities.</t>
  </si>
  <si>
    <t>Operations readiness items are stored in Sales_Raw_Operations.</t>
  </si>
  <si>
    <t>Lead</t>
  </si>
  <si>
    <t>Active Proposal</t>
  </si>
  <si>
    <t>On Hold</t>
  </si>
  <si>
    <t>Sales Stage Details</t>
  </si>
  <si>
    <t>Optional detail feed used by the Sales dashboard for this month / this week breakdowns. Update rows below as needed.</t>
  </si>
  <si>
    <t>Period</t>
  </si>
  <si>
    <t>Owner</t>
  </si>
  <si>
    <t>This Month</t>
  </si>
  <si>
    <t>Add lead rows here if you want the dashboard to show client-level detail for leads.</t>
  </si>
  <si>
    <t>This Week</t>
  </si>
  <si>
    <t>Weekly detail is manual because the current raw opportunity source does not contain exact dates.</t>
  </si>
  <si>
    <t>Add weekly active proposal detail here if needed.</t>
  </si>
  <si>
    <t>Add weekly submitted detail here if needed.</t>
  </si>
  <si>
    <t>Add weekly won detail here if needed.</t>
  </si>
  <si>
    <t xml:space="preserve">Nadec </t>
  </si>
  <si>
    <t>Riyadh Air</t>
  </si>
  <si>
    <t>Expo</t>
  </si>
  <si>
    <t>Nestle</t>
  </si>
  <si>
    <t>Kpmg</t>
  </si>
  <si>
    <t>EY</t>
  </si>
  <si>
    <t>Accenture</t>
  </si>
  <si>
    <t>NCFB</t>
  </si>
  <si>
    <t>Humain</t>
  </si>
  <si>
    <t>CFG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</si>
</sst>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#,##0;[Red]\(#,##0\);\-"/>
    <numFmt numFmtId="165" formatCode="0.0%"/>
    <numFmt numFmtId="166" formatCode="_(* #,##0_);_(* \(#,##0\);_(* &quot;-&quot;??_);_(@_)"/>
  </numFmts>
  <fonts count="1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  <scheme val="minor"/>
    </font>
    <font>
      <sz val="11"/>
      <name val="Calibri"/>
      <family val="2"/>
    </font>
    <font>
      <i/>
      <sz val="9"/>
      <color rgb="FF666666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1"/>
      <color theme="1"/>
      <name val="Calibri"/>
      <family val="2"/>
    </font>
    <font>
      <sz val="10"/>
      <color rgb="FF000000"/>
      <name val="Calibri"/>
      <family val="2"/>
      <scheme val="minor"/>
    </font>
    <font>
      <sz val="10"/>
      <color rgb="FF0000FF"/>
      <name val="Calibri"/>
      <family val="2"/>
      <scheme val="minor"/>
    </font>
    <font>
      <sz val="10"/>
      <color rgb="FF008000"/>
      <name val="Calibri"/>
      <family val="2"/>
      <scheme val="minor"/>
    </font>
    <font>
      <b/>
      <sz val="11"/>
      <color rgb="FFFFFFFF"/>
      <name val="Calibri"/>
      <family val="2"/>
    </font>
    <font>
      <b/>
      <sz val="14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E4D20"/>
        <bgColor rgb="FF1E4D20"/>
      </patternFill>
    </fill>
    <fill>
      <patternFill patternType="solid">
        <fgColor rgb="FFF8F1E3"/>
        <bgColor rgb="FFF8F1E3"/>
      </patternFill>
    </fill>
    <fill>
      <patternFill patternType="solid">
        <fgColor rgb="FFB08D3E"/>
        <bgColor rgb="FFB08D3E"/>
      </patternFill>
    </fill>
    <fill>
      <patternFill patternType="solid">
        <fgColor rgb="FF1E4D20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41">
    <xf numFmtId="0" fontId="0" fillId="0" borderId="0" xfId="0"/>
    <xf numFmtId="0" fontId="5" fillId="0" borderId="0" xfId="0" applyFont="1"/>
    <xf numFmtId="0" fontId="6" fillId="0" borderId="0" xfId="0" applyFont="1"/>
    <xf numFmtId="0" fontId="8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  <xf numFmtId="0" fontId="10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9" fillId="0" borderId="0" xfId="0" applyFont="1" applyAlignment="1">
      <alignment vertical="top" wrapText="1"/>
    </xf>
    <xf numFmtId="164" fontId="9" fillId="0" borderId="1" xfId="0" applyNumberFormat="1" applyFont="1" applyBorder="1" applyAlignment="1">
      <alignment horizontal="right" vertical="center"/>
    </xf>
    <xf numFmtId="0" fontId="9" fillId="0" borderId="1" xfId="0" applyFont="1" applyBorder="1" applyAlignment="1">
      <alignment horizontal="right" vertical="center"/>
    </xf>
    <xf numFmtId="164" fontId="11" fillId="0" borderId="1" xfId="0" applyNumberFormat="1" applyFont="1" applyBorder="1" applyAlignment="1">
      <alignment horizontal="right" vertical="center"/>
    </xf>
    <xf numFmtId="164" fontId="10" fillId="0" borderId="1" xfId="0" applyNumberFormat="1" applyFont="1" applyBorder="1" applyAlignment="1">
      <alignment horizontal="right" vertical="center"/>
    </xf>
    <xf numFmtId="165" fontId="10" fillId="0" borderId="1" xfId="0" applyNumberFormat="1" applyFont="1" applyBorder="1" applyAlignment="1">
      <alignment horizontal="right" vertical="center"/>
    </xf>
    <xf numFmtId="9" fontId="10" fillId="0" borderId="1" xfId="0" applyNumberFormat="1" applyFont="1" applyBorder="1" applyAlignment="1">
      <alignment horizontal="right" vertical="center"/>
    </xf>
    <xf numFmtId="164" fontId="12" fillId="0" borderId="1" xfId="0" applyNumberFormat="1" applyFont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/>
    </xf>
    <xf numFmtId="164" fontId="12" fillId="0" borderId="0" xfId="0" applyNumberFormat="1" applyFont="1"/>
    <xf numFmtId="165" fontId="10" fillId="0" borderId="0" xfId="0" applyNumberFormat="1" applyFont="1"/>
    <xf numFmtId="164" fontId="10" fillId="0" borderId="0" xfId="0" applyNumberFormat="1" applyFont="1"/>
    <xf numFmtId="164" fontId="11" fillId="0" borderId="0" xfId="0" applyNumberFormat="1" applyFont="1"/>
    <xf numFmtId="165" fontId="11" fillId="0" borderId="1" xfId="0" applyNumberFormat="1" applyFont="1" applyBorder="1" applyAlignment="1">
      <alignment horizontal="right" vertical="center"/>
    </xf>
    <xf numFmtId="0" fontId="11" fillId="0" borderId="1" xfId="0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right" vertical="center"/>
    </xf>
    <xf numFmtId="165" fontId="5" fillId="0" borderId="0" xfId="0" applyNumberFormat="1" applyFont="1"/>
    <xf numFmtId="0" fontId="11" fillId="0" borderId="0" xfId="0" applyFont="1"/>
    <xf numFmtId="0" fontId="14" fillId="0" borderId="0" xfId="0" applyFont="1"/>
    <xf numFmtId="0" fontId="3" fillId="0" borderId="0" xfId="0" applyFont="1" applyAlignment="1">
      <alignment wrapText="1"/>
    </xf>
    <xf numFmtId="0" fontId="13" fillId="5" borderId="0" xfId="0" applyFont="1" applyFill="1" applyAlignment="1">
      <alignment horizontal="center"/>
    </xf>
    <xf numFmtId="0" fontId="0" fillId="0" borderId="3" xfId="0" applyBorder="1" applyAlignment="1">
      <alignment horizontal="center" vertical="center"/>
    </xf>
    <xf numFmtId="166" fontId="0" fillId="0" borderId="0" xfId="1" applyNumberFormat="1" applyFont="1"/>
    <xf numFmtId="0" fontId="15" fillId="0" borderId="0" xfId="0" applyFont="1"/>
    <xf numFmtId="0" fontId="1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4" fillId="3" borderId="2" xfId="0" applyFont="1" applyFill="1" applyBorder="1" applyAlignment="1">
      <alignment horizontal="left" vertical="center"/>
    </xf>
    <xf numFmtId="0" fontId="0" fillId="0" borderId="0" xfId="0"/>
    <xf numFmtId="0" fontId="2" fillId="2" borderId="2" xfId="0" applyFont="1" applyFill="1" applyBorder="1" applyAlignment="1">
      <alignment horizontal="left" vertical="center"/>
    </xf>
    <xf numFmtId="0" fontId="7" fillId="4" borderId="2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6"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4"/>
          <bgColor theme="4"/>
        </patternFill>
      </fill>
    </dxf>
  </dxfs>
  <tableStyles count="2" defaultTableStyle="TableStyleMedium9" defaultPivotStyle="PivotStyleLight16">
    <tableStyle name="Sales_Raw_Opportunities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ales_Raw_Operations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3:I23">
  <tableColumns count="9">
    <tableColumn id="1" xr3:uid="{00000000-0010-0000-0000-000001000000}" name="Client"/>
    <tableColumn id="2" xr3:uid="{00000000-0010-0000-0000-000002000000}" name="Opportunity"/>
    <tableColumn id="3" xr3:uid="{00000000-0010-0000-0000-000003000000}" name="BD Lead"/>
    <tableColumn id="4" xr3:uid="{00000000-0010-0000-0000-000004000000}" name="Submitted"/>
    <tableColumn id="5" xr3:uid="{00000000-0010-0000-0000-000005000000}" name="Value_SAR"/>
    <tableColumn id="6" xr3:uid="{00000000-0010-0000-0000-000006000000}" name="Probability_Pct"/>
    <tableColumn id="7" xr3:uid="{00000000-0010-0000-0000-000007000000}" name="Weighted_Value_SAR"/>
    <tableColumn id="8" xr3:uid="{00000000-0010-0000-0000-000008000000}" name="Stage"/>
    <tableColumn id="9" xr3:uid="{00000000-0010-0000-0000-000009000000}" name="Notes"/>
  </tableColumns>
  <tableStyleInfo name="Sales_Raw_Opportuniti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3:C13">
  <tableColumns count="3">
    <tableColumn id="1" xr3:uid="{00000000-0010-0000-0100-000001000000}" name="Operation Item"/>
    <tableColumn id="2" xr3:uid="{00000000-0010-0000-0100-000002000000}" name="Status"/>
    <tableColumn id="3" xr3:uid="{00000000-0010-0000-0100-000003000000}" name="Progress_Pct"/>
  </tableColumns>
  <tableStyleInfo name="Sales_Raw_Operations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0"/>
  <sheetViews>
    <sheetView showGridLines="0" workbookViewId="0">
      <selection activeCell="B14" sqref="B14"/>
    </sheetView>
  </sheetViews>
  <sheetFormatPr defaultColWidth="14.44140625" defaultRowHeight="15" customHeight="1" x14ac:dyDescent="0.3"/>
  <cols>
    <col min="1" max="1" width="24" customWidth="1"/>
    <col min="2" max="2" width="95" customWidth="1"/>
    <col min="3" max="26" width="8.6640625" customWidth="1"/>
  </cols>
  <sheetData>
    <row r="1" spans="1:6" ht="18" x14ac:dyDescent="0.3">
      <c r="A1" s="39" t="s">
        <v>0</v>
      </c>
      <c r="B1" s="38"/>
      <c r="C1" s="38"/>
      <c r="D1" s="38"/>
      <c r="E1" s="38"/>
      <c r="F1" s="38"/>
    </row>
    <row r="2" spans="1:6" ht="14.4" x14ac:dyDescent="0.3">
      <c r="A2" s="37" t="s">
        <v>1</v>
      </c>
      <c r="B2" s="38"/>
      <c r="C2" s="38"/>
      <c r="D2" s="38"/>
      <c r="E2" s="38"/>
      <c r="F2" s="38"/>
    </row>
    <row r="4" spans="1:6" ht="14.4" x14ac:dyDescent="0.3">
      <c r="A4" s="1" t="s">
        <v>2</v>
      </c>
    </row>
    <row r="5" spans="1:6" ht="14.4" x14ac:dyDescent="0.3">
      <c r="A5" s="2" t="s">
        <v>3</v>
      </c>
    </row>
    <row r="6" spans="1:6" ht="14.4" x14ac:dyDescent="0.3">
      <c r="A6" s="2" t="s">
        <v>4</v>
      </c>
    </row>
    <row r="7" spans="1:6" ht="14.4" x14ac:dyDescent="0.3">
      <c r="A7" s="2" t="s">
        <v>5</v>
      </c>
    </row>
    <row r="8" spans="1:6" ht="14.4" x14ac:dyDescent="0.3">
      <c r="A8" s="2" t="s">
        <v>6</v>
      </c>
    </row>
    <row r="9" spans="1:6" ht="14.4" x14ac:dyDescent="0.3">
      <c r="A9" s="2" t="s">
        <v>7</v>
      </c>
    </row>
    <row r="11" spans="1:6" ht="14.4" x14ac:dyDescent="0.3">
      <c r="A11" s="40" t="s">
        <v>8</v>
      </c>
      <c r="B11" s="38"/>
      <c r="C11" s="38"/>
      <c r="D11" s="38"/>
    </row>
    <row r="12" spans="1:6" ht="14.4" x14ac:dyDescent="0.3">
      <c r="A12" s="3" t="s">
        <v>9</v>
      </c>
      <c r="B12" s="3" t="s">
        <v>10</v>
      </c>
    </row>
    <row r="13" spans="1:6" ht="14.4" x14ac:dyDescent="0.3">
      <c r="A13" s="4" t="s">
        <v>11</v>
      </c>
      <c r="B13" s="5" t="s">
        <v>12</v>
      </c>
    </row>
    <row r="14" spans="1:6" ht="14.4" x14ac:dyDescent="0.3">
      <c r="A14" s="4" t="s">
        <v>13</v>
      </c>
      <c r="B14" s="5" t="s">
        <v>14</v>
      </c>
    </row>
    <row r="15" spans="1:6" ht="14.4" x14ac:dyDescent="0.3">
      <c r="A15" s="4" t="s">
        <v>15</v>
      </c>
      <c r="B15" s="5" t="s">
        <v>16</v>
      </c>
    </row>
    <row r="16" spans="1:6" ht="14.4" x14ac:dyDescent="0.3">
      <c r="A16" s="4" t="s">
        <v>17</v>
      </c>
      <c r="B16" s="5" t="s">
        <v>18</v>
      </c>
    </row>
    <row r="17" spans="1:2" ht="14.4" x14ac:dyDescent="0.3">
      <c r="A17" s="4" t="s">
        <v>19</v>
      </c>
      <c r="B17" s="5" t="s">
        <v>20</v>
      </c>
    </row>
    <row r="18" spans="1:2" ht="14.4" x14ac:dyDescent="0.3">
      <c r="A18" s="4" t="s">
        <v>21</v>
      </c>
      <c r="B18" s="5" t="s">
        <v>22</v>
      </c>
    </row>
    <row r="19" spans="1:2" ht="14.4" x14ac:dyDescent="0.3">
      <c r="A19" s="4" t="s">
        <v>23</v>
      </c>
      <c r="B19" s="5" t="s">
        <v>24</v>
      </c>
    </row>
    <row r="20" spans="1:2" ht="14.4" x14ac:dyDescent="0.3">
      <c r="A20" s="4" t="s">
        <v>25</v>
      </c>
      <c r="B20" s="5" t="s">
        <v>26</v>
      </c>
    </row>
    <row r="21" spans="1:2" ht="15.75" customHeight="1" x14ac:dyDescent="0.3">
      <c r="A21" s="4" t="s">
        <v>27</v>
      </c>
      <c r="B21" s="5" t="s">
        <v>28</v>
      </c>
    </row>
    <row r="22" spans="1:2" ht="15.75" customHeight="1" x14ac:dyDescent="0.3"/>
    <row r="23" spans="1:2" ht="15.75" customHeight="1" x14ac:dyDescent="0.3"/>
    <row r="24" spans="1:2" ht="15.75" customHeight="1" x14ac:dyDescent="0.3">
      <c r="A24" s="1" t="s">
        <v>29</v>
      </c>
    </row>
    <row r="25" spans="1:2" ht="15.75" customHeight="1" x14ac:dyDescent="0.3">
      <c r="A25" s="2" t="s">
        <v>30</v>
      </c>
    </row>
    <row r="26" spans="1:2" ht="15.75" customHeight="1" x14ac:dyDescent="0.3">
      <c r="A26" s="2" t="s">
        <v>31</v>
      </c>
    </row>
    <row r="27" spans="1:2" ht="15.75" customHeight="1" x14ac:dyDescent="0.3"/>
    <row r="28" spans="1:2" ht="15.75" customHeight="1" x14ac:dyDescent="0.3"/>
    <row r="29" spans="1:2" ht="15.75" customHeight="1" x14ac:dyDescent="0.3"/>
    <row r="30" spans="1:2" ht="15.75" customHeight="1" x14ac:dyDescent="0.3"/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3">
    <mergeCell ref="A2:F2"/>
    <mergeCell ref="A1:F1"/>
    <mergeCell ref="A11:D11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0"/>
  <sheetViews>
    <sheetView showGridLines="0" topLeftCell="A9" workbookViewId="0">
      <selection activeCell="C22" sqref="C22"/>
    </sheetView>
  </sheetViews>
  <sheetFormatPr defaultColWidth="14.44140625" defaultRowHeight="15" customHeight="1" x14ac:dyDescent="0.3"/>
  <cols>
    <col min="1" max="1" width="22" customWidth="1"/>
    <col min="2" max="3" width="28" customWidth="1"/>
    <col min="4" max="4" width="24" customWidth="1"/>
    <col min="5" max="5" width="18" customWidth="1"/>
    <col min="6" max="6" width="40" customWidth="1"/>
    <col min="7" max="26" width="8.6640625" customWidth="1"/>
  </cols>
  <sheetData>
    <row r="1" spans="1:6" ht="18" x14ac:dyDescent="0.3">
      <c r="A1" s="39" t="s">
        <v>32</v>
      </c>
      <c r="B1" s="38"/>
      <c r="C1" s="38"/>
      <c r="D1" s="38"/>
      <c r="E1" s="38"/>
      <c r="F1" s="38"/>
    </row>
    <row r="3" spans="1:6" ht="14.4" x14ac:dyDescent="0.3">
      <c r="A3" s="3" t="s">
        <v>33</v>
      </c>
      <c r="B3" s="3" t="s">
        <v>34</v>
      </c>
      <c r="C3" s="3" t="s">
        <v>35</v>
      </c>
      <c r="D3" s="3" t="s">
        <v>36</v>
      </c>
      <c r="E3" s="3" t="s">
        <v>37</v>
      </c>
      <c r="F3" s="3" t="s">
        <v>38</v>
      </c>
    </row>
    <row r="4" spans="1:6" ht="14.4" x14ac:dyDescent="0.3">
      <c r="A4" s="6" t="s">
        <v>39</v>
      </c>
      <c r="B4" s="7" t="s">
        <v>40</v>
      </c>
      <c r="C4" s="6" t="s">
        <v>15</v>
      </c>
      <c r="D4" s="5" t="s">
        <v>41</v>
      </c>
      <c r="E4" s="5" t="s">
        <v>42</v>
      </c>
      <c r="F4" s="5" t="s">
        <v>43</v>
      </c>
    </row>
    <row r="5" spans="1:6" ht="14.4" x14ac:dyDescent="0.3">
      <c r="A5" s="6" t="s">
        <v>39</v>
      </c>
      <c r="B5" s="7" t="s">
        <v>44</v>
      </c>
      <c r="C5" s="6" t="s">
        <v>15</v>
      </c>
      <c r="D5" s="5" t="s">
        <v>45</v>
      </c>
      <c r="E5" s="5" t="s">
        <v>46</v>
      </c>
      <c r="F5" s="5" t="s">
        <v>47</v>
      </c>
    </row>
    <row r="6" spans="1:6" ht="14.4" x14ac:dyDescent="0.3">
      <c r="A6" s="6" t="s">
        <v>48</v>
      </c>
      <c r="B6" s="7" t="s">
        <v>40</v>
      </c>
      <c r="C6" s="6" t="s">
        <v>17</v>
      </c>
      <c r="D6" s="5" t="s">
        <v>41</v>
      </c>
      <c r="E6" s="5" t="s">
        <v>42</v>
      </c>
      <c r="F6" s="5" t="s">
        <v>49</v>
      </c>
    </row>
    <row r="7" spans="1:6" ht="28.8" x14ac:dyDescent="0.3">
      <c r="A7" s="6" t="s">
        <v>48</v>
      </c>
      <c r="B7" s="7" t="s">
        <v>50</v>
      </c>
      <c r="C7" s="6" t="s">
        <v>17</v>
      </c>
      <c r="D7" s="5" t="s">
        <v>51</v>
      </c>
      <c r="E7" s="5" t="s">
        <v>52</v>
      </c>
      <c r="F7" s="5" t="s">
        <v>53</v>
      </c>
    </row>
    <row r="8" spans="1:6" ht="14.4" x14ac:dyDescent="0.3">
      <c r="A8" s="6" t="s">
        <v>54</v>
      </c>
      <c r="B8" s="7" t="s">
        <v>55</v>
      </c>
      <c r="C8" s="6" t="s">
        <v>19</v>
      </c>
      <c r="D8" s="5" t="s">
        <v>56</v>
      </c>
      <c r="E8" s="5" t="s">
        <v>57</v>
      </c>
      <c r="F8" s="5" t="s">
        <v>58</v>
      </c>
    </row>
    <row r="9" spans="1:6" ht="14.4" x14ac:dyDescent="0.3">
      <c r="A9" s="6" t="s">
        <v>54</v>
      </c>
      <c r="B9" s="7" t="s">
        <v>59</v>
      </c>
      <c r="C9" s="6" t="s">
        <v>19</v>
      </c>
      <c r="D9" s="5" t="s">
        <v>60</v>
      </c>
      <c r="E9" s="5" t="s">
        <v>57</v>
      </c>
      <c r="F9" s="5" t="s">
        <v>61</v>
      </c>
    </row>
    <row r="10" spans="1:6" ht="14.4" x14ac:dyDescent="0.3">
      <c r="A10" s="6" t="s">
        <v>54</v>
      </c>
      <c r="B10" s="7" t="s">
        <v>62</v>
      </c>
      <c r="C10" s="6" t="s">
        <v>19</v>
      </c>
      <c r="D10" s="5" t="s">
        <v>63</v>
      </c>
      <c r="E10" s="5" t="s">
        <v>57</v>
      </c>
      <c r="F10" s="5" t="s">
        <v>64</v>
      </c>
    </row>
    <row r="11" spans="1:6" ht="14.4" x14ac:dyDescent="0.3">
      <c r="A11" s="6" t="s">
        <v>54</v>
      </c>
      <c r="B11" s="7" t="s">
        <v>65</v>
      </c>
      <c r="C11" s="6" t="s">
        <v>19</v>
      </c>
      <c r="D11" s="5" t="s">
        <v>66</v>
      </c>
      <c r="E11" s="5" t="s">
        <v>57</v>
      </c>
      <c r="F11" s="5" t="s">
        <v>67</v>
      </c>
    </row>
    <row r="12" spans="1:6" ht="14.4" x14ac:dyDescent="0.3">
      <c r="A12" s="6" t="s">
        <v>54</v>
      </c>
      <c r="B12" s="7" t="s">
        <v>68</v>
      </c>
      <c r="C12" s="6" t="s">
        <v>19</v>
      </c>
      <c r="D12" s="5" t="s">
        <v>69</v>
      </c>
      <c r="E12" s="5" t="s">
        <v>42</v>
      </c>
      <c r="F12" s="5" t="s">
        <v>70</v>
      </c>
    </row>
    <row r="13" spans="1:6" ht="28.8" x14ac:dyDescent="0.3">
      <c r="A13" s="6" t="s">
        <v>71</v>
      </c>
      <c r="B13" s="7" t="s">
        <v>72</v>
      </c>
      <c r="C13" s="6" t="s">
        <v>21</v>
      </c>
      <c r="D13" s="5" t="s">
        <v>73</v>
      </c>
      <c r="E13" s="5" t="s">
        <v>74</v>
      </c>
      <c r="F13" s="5" t="s">
        <v>75</v>
      </c>
    </row>
    <row r="14" spans="1:6" ht="14.4" x14ac:dyDescent="0.3">
      <c r="A14" s="6" t="s">
        <v>71</v>
      </c>
      <c r="B14" s="7" t="s">
        <v>76</v>
      </c>
      <c r="C14" s="6" t="s">
        <v>21</v>
      </c>
      <c r="D14" s="5" t="s">
        <v>77</v>
      </c>
      <c r="E14" s="5" t="s">
        <v>46</v>
      </c>
      <c r="F14" s="5" t="s">
        <v>78</v>
      </c>
    </row>
    <row r="15" spans="1:6" ht="14.4" x14ac:dyDescent="0.3">
      <c r="A15" s="6" t="s">
        <v>71</v>
      </c>
      <c r="B15" s="7" t="s">
        <v>79</v>
      </c>
      <c r="C15" s="6" t="s">
        <v>21</v>
      </c>
      <c r="D15" s="5" t="s">
        <v>80</v>
      </c>
      <c r="E15" s="5" t="s">
        <v>81</v>
      </c>
      <c r="F15" s="5" t="s">
        <v>82</v>
      </c>
    </row>
    <row r="16" spans="1:6" ht="14.4" x14ac:dyDescent="0.3">
      <c r="A16" s="6" t="s">
        <v>71</v>
      </c>
      <c r="B16" s="7" t="s">
        <v>83</v>
      </c>
      <c r="C16" s="6" t="s">
        <v>21</v>
      </c>
      <c r="D16" s="5" t="s">
        <v>84</v>
      </c>
      <c r="E16" s="5" t="s">
        <v>85</v>
      </c>
      <c r="F16" s="5" t="s">
        <v>86</v>
      </c>
    </row>
    <row r="17" spans="1:6" ht="28.8" x14ac:dyDescent="0.3">
      <c r="A17" s="6" t="s">
        <v>87</v>
      </c>
      <c r="B17" s="7" t="s">
        <v>40</v>
      </c>
      <c r="C17" s="6" t="s">
        <v>23</v>
      </c>
      <c r="D17" s="5" t="s">
        <v>88</v>
      </c>
      <c r="E17" s="5" t="s">
        <v>89</v>
      </c>
      <c r="F17" s="5" t="s">
        <v>90</v>
      </c>
    </row>
    <row r="18" spans="1:6" ht="14.4" x14ac:dyDescent="0.3">
      <c r="A18" s="6" t="s">
        <v>87</v>
      </c>
      <c r="B18" s="7" t="s">
        <v>91</v>
      </c>
      <c r="C18" s="6" t="s">
        <v>23</v>
      </c>
      <c r="D18" s="5" t="s">
        <v>92</v>
      </c>
      <c r="E18" s="5" t="s">
        <v>93</v>
      </c>
      <c r="F18" s="5" t="s">
        <v>94</v>
      </c>
    </row>
    <row r="19" spans="1:6" ht="14.4" x14ac:dyDescent="0.3">
      <c r="A19" s="6" t="s">
        <v>87</v>
      </c>
      <c r="B19" s="7" t="s">
        <v>95</v>
      </c>
      <c r="C19" s="6" t="s">
        <v>23</v>
      </c>
      <c r="D19" s="5" t="s">
        <v>96</v>
      </c>
      <c r="E19" s="5" t="s">
        <v>42</v>
      </c>
      <c r="F19" s="5" t="s">
        <v>97</v>
      </c>
    </row>
    <row r="20" spans="1:6" ht="28.8" x14ac:dyDescent="0.3">
      <c r="A20" s="6" t="s">
        <v>87</v>
      </c>
      <c r="B20" s="7" t="s">
        <v>98</v>
      </c>
      <c r="C20" s="6" t="s">
        <v>23</v>
      </c>
      <c r="D20" s="5" t="s">
        <v>99</v>
      </c>
      <c r="E20" s="5" t="s">
        <v>42</v>
      </c>
      <c r="F20" s="5" t="s">
        <v>100</v>
      </c>
    </row>
    <row r="21" spans="1:6" ht="15.75" customHeight="1" x14ac:dyDescent="0.3">
      <c r="A21" s="6" t="s">
        <v>87</v>
      </c>
      <c r="B21" s="7" t="s">
        <v>101</v>
      </c>
      <c r="C21" s="6" t="s">
        <v>102</v>
      </c>
      <c r="D21" s="5" t="s">
        <v>103</v>
      </c>
      <c r="E21" s="5" t="s">
        <v>104</v>
      </c>
      <c r="F21" s="5" t="s">
        <v>105</v>
      </c>
    </row>
    <row r="22" spans="1:6" ht="15.75" customHeight="1" x14ac:dyDescent="0.3">
      <c r="A22" s="6" t="s">
        <v>87</v>
      </c>
      <c r="B22" s="7" t="s">
        <v>106</v>
      </c>
      <c r="C22" s="6" t="s">
        <v>25</v>
      </c>
      <c r="D22" s="5" t="s">
        <v>107</v>
      </c>
      <c r="E22" s="5" t="s">
        <v>108</v>
      </c>
      <c r="F22" s="5" t="s">
        <v>109</v>
      </c>
    </row>
    <row r="23" spans="1:6" ht="15.75" customHeight="1" x14ac:dyDescent="0.3">
      <c r="A23" s="8" t="s">
        <v>87</v>
      </c>
      <c r="B23" s="9" t="s">
        <v>110</v>
      </c>
      <c r="C23" s="8" t="s">
        <v>27</v>
      </c>
      <c r="D23" s="10" t="s">
        <v>111</v>
      </c>
      <c r="E23" s="10" t="s">
        <v>108</v>
      </c>
      <c r="F23" s="10" t="s">
        <v>109</v>
      </c>
    </row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F1"/>
  </mergeCell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9" t="s">
        <v>39</v>
      </c>
      <c r="B1" s="38"/>
      <c r="C1" s="38"/>
      <c r="D1" s="38"/>
      <c r="E1" s="38"/>
      <c r="F1" s="38"/>
    </row>
    <row r="2" spans="1:6" ht="14.4" x14ac:dyDescent="0.3">
      <c r="A2" s="37" t="s">
        <v>112</v>
      </c>
      <c r="B2" s="38"/>
      <c r="C2" s="38"/>
      <c r="D2" s="38"/>
      <c r="E2" s="38"/>
      <c r="F2" s="38"/>
    </row>
    <row r="3" spans="1:6" ht="14.4" x14ac:dyDescent="0.3">
      <c r="A3" s="40" t="s">
        <v>40</v>
      </c>
      <c r="B3" s="38"/>
      <c r="C3" s="38"/>
      <c r="D3" s="38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117</v>
      </c>
      <c r="B5" s="11">
        <f>F11</f>
        <v>3047376.25</v>
      </c>
      <c r="C5" s="12" t="s">
        <v>118</v>
      </c>
      <c r="D5" s="12" t="s">
        <v>119</v>
      </c>
    </row>
    <row r="6" spans="1:6" ht="14.4" x14ac:dyDescent="0.3">
      <c r="A6" s="4" t="s">
        <v>120</v>
      </c>
      <c r="B6" s="11">
        <f>F13</f>
        <v>1218950.5</v>
      </c>
      <c r="C6" s="12" t="s">
        <v>118</v>
      </c>
      <c r="D6" s="12" t="s">
        <v>121</v>
      </c>
    </row>
    <row r="7" spans="1:6" ht="14.4" x14ac:dyDescent="0.3">
      <c r="A7" s="4" t="s">
        <v>122</v>
      </c>
      <c r="B7" s="11">
        <f>F16</f>
        <v>-1951189.5</v>
      </c>
      <c r="C7" s="12" t="s">
        <v>118</v>
      </c>
      <c r="D7" s="12" t="s">
        <v>123</v>
      </c>
    </row>
    <row r="8" spans="1:6" ht="14.4" x14ac:dyDescent="0.3">
      <c r="A8" s="4" t="s">
        <v>124</v>
      </c>
      <c r="B8" s="11">
        <f>F15</f>
        <v>-3170140</v>
      </c>
      <c r="C8" s="12" t="s">
        <v>118</v>
      </c>
      <c r="D8" s="12" t="s">
        <v>125</v>
      </c>
    </row>
    <row r="9" spans="1:6" ht="14.4" x14ac:dyDescent="0.3">
      <c r="A9" s="40" t="s">
        <v>126</v>
      </c>
      <c r="B9" s="38"/>
      <c r="C9" s="38"/>
      <c r="D9" s="38"/>
      <c r="E9" s="38"/>
      <c r="F9" s="38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133</v>
      </c>
      <c r="B11" s="13">
        <v>0</v>
      </c>
      <c r="C11" s="13">
        <v>560000</v>
      </c>
      <c r="D11" s="13">
        <v>1043593.75</v>
      </c>
      <c r="E11" s="13">
        <v>1443782.5</v>
      </c>
      <c r="F11" s="14">
        <f>SUM(B11:E11)</f>
        <v>3047376.25</v>
      </c>
    </row>
    <row r="12" spans="1:6" ht="14.4" x14ac:dyDescent="0.3">
      <c r="A12" s="4" t="s">
        <v>134</v>
      </c>
      <c r="B12" s="13"/>
      <c r="C12" s="13">
        <v>-336000</v>
      </c>
      <c r="D12" s="13">
        <v>-626156.25</v>
      </c>
      <c r="E12" s="13">
        <v>-866269.5</v>
      </c>
      <c r="F12" s="14">
        <f>SUM(B12:E12)</f>
        <v>-1828425.75</v>
      </c>
    </row>
    <row r="13" spans="1:6" ht="14.4" x14ac:dyDescent="0.3">
      <c r="A13" s="4" t="s">
        <v>135</v>
      </c>
      <c r="B13" s="14">
        <f>B11+B12</f>
        <v>0</v>
      </c>
      <c r="C13" s="14">
        <f>C11+C12</f>
        <v>224000</v>
      </c>
      <c r="D13" s="14">
        <f>D11+D12</f>
        <v>417437.5</v>
      </c>
      <c r="E13" s="14">
        <f>E11+E12</f>
        <v>577513</v>
      </c>
      <c r="F13" s="14">
        <f>SUM(B13:E13)</f>
        <v>1218950.5</v>
      </c>
    </row>
    <row r="14" spans="1:6" ht="14.4" x14ac:dyDescent="0.3">
      <c r="A14" s="4" t="s">
        <v>136</v>
      </c>
      <c r="B14" s="15">
        <f>IFERROR(B13/B11,0)</f>
        <v>0</v>
      </c>
      <c r="C14" s="15">
        <f>IFERROR(C13/C11,0)</f>
        <v>0.4</v>
      </c>
      <c r="D14" s="15">
        <f>IFERROR(D13/D11,0)</f>
        <v>0.4</v>
      </c>
      <c r="E14" s="15">
        <f>IFERROR(E13/E11,0)</f>
        <v>0.4</v>
      </c>
      <c r="F14" s="16">
        <f>IFERROR(F13/F11,0)</f>
        <v>0.4</v>
      </c>
    </row>
    <row r="15" spans="1:6" ht="14.4" x14ac:dyDescent="0.3">
      <c r="A15" s="4" t="s">
        <v>137</v>
      </c>
      <c r="B15" s="13">
        <v>-775035</v>
      </c>
      <c r="C15" s="13">
        <v>-825035</v>
      </c>
      <c r="D15" s="13">
        <v>-775035</v>
      </c>
      <c r="E15" s="13">
        <v>-795035</v>
      </c>
      <c r="F15" s="14">
        <f>SUM(B15:E15)</f>
        <v>-3170140</v>
      </c>
    </row>
    <row r="16" spans="1:6" ht="14.4" x14ac:dyDescent="0.3">
      <c r="A16" s="4" t="s">
        <v>138</v>
      </c>
      <c r="B16" s="14">
        <f>B13+B15</f>
        <v>-775035</v>
      </c>
      <c r="C16" s="14">
        <f>C13+C15</f>
        <v>-601035</v>
      </c>
      <c r="D16" s="14">
        <f>D13+D15</f>
        <v>-357597.5</v>
      </c>
      <c r="E16" s="14">
        <f>E13+E15</f>
        <v>-217522</v>
      </c>
      <c r="F16" s="14">
        <f>F13+F15</f>
        <v>-1951189.5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1000"/>
  <sheetViews>
    <sheetView showGridLines="0" workbookViewId="0">
      <pane ySplit="9" topLeftCell="A10" activePane="bottomLeft" state="frozen"/>
      <selection pane="bottomLeft" activeCell="B11" sqref="B11"/>
    </sheetView>
  </sheetViews>
  <sheetFormatPr defaultColWidth="14.44140625" defaultRowHeight="15" customHeight="1" x14ac:dyDescent="0.3"/>
  <cols>
    <col min="1" max="1" width="24" customWidth="1"/>
    <col min="2" max="5" width="14" customWidth="1"/>
    <col min="6" max="6" width="16" customWidth="1"/>
    <col min="7" max="26" width="8.6640625" customWidth="1"/>
  </cols>
  <sheetData>
    <row r="1" spans="1:6" ht="18" x14ac:dyDescent="0.3">
      <c r="A1" s="39" t="s">
        <v>48</v>
      </c>
      <c r="B1" s="38"/>
      <c r="C1" s="38"/>
      <c r="D1" s="38"/>
      <c r="E1" s="38"/>
      <c r="F1" s="38"/>
    </row>
    <row r="2" spans="1:6" ht="14.4" x14ac:dyDescent="0.3">
      <c r="A2" s="37" t="s">
        <v>139</v>
      </c>
      <c r="B2" s="38"/>
      <c r="C2" s="38"/>
      <c r="D2" s="38"/>
      <c r="E2" s="38"/>
      <c r="F2" s="38"/>
    </row>
    <row r="3" spans="1:6" ht="14.4" x14ac:dyDescent="0.3">
      <c r="A3" s="40" t="s">
        <v>40</v>
      </c>
      <c r="B3" s="38"/>
      <c r="C3" s="38"/>
      <c r="D3" s="38"/>
    </row>
    <row r="4" spans="1:6" ht="14.4" x14ac:dyDescent="0.3">
      <c r="A4" s="3" t="s">
        <v>113</v>
      </c>
      <c r="B4" s="3" t="s">
        <v>114</v>
      </c>
      <c r="C4" s="3" t="s">
        <v>115</v>
      </c>
      <c r="D4" s="3" t="s">
        <v>116</v>
      </c>
    </row>
    <row r="5" spans="1:6" ht="14.4" x14ac:dyDescent="0.3">
      <c r="A5" s="4" t="s">
        <v>140</v>
      </c>
      <c r="B5" s="11">
        <f>B11</f>
        <v>581455</v>
      </c>
      <c r="C5" s="12" t="s">
        <v>118</v>
      </c>
      <c r="D5" s="12" t="s">
        <v>141</v>
      </c>
    </row>
    <row r="6" spans="1:6" ht="14.4" x14ac:dyDescent="0.3">
      <c r="A6" s="4" t="s">
        <v>142</v>
      </c>
      <c r="B6" s="11">
        <f>F14</f>
        <v>2213343.75</v>
      </c>
      <c r="C6" s="12" t="s">
        <v>118</v>
      </c>
      <c r="D6" s="12" t="s">
        <v>143</v>
      </c>
    </row>
    <row r="7" spans="1:6" ht="14.4" x14ac:dyDescent="0.3">
      <c r="A7" s="4" t="s">
        <v>144</v>
      </c>
      <c r="B7" s="11">
        <f>F15+F16</f>
        <v>-4891206.4399999995</v>
      </c>
      <c r="C7" s="12" t="s">
        <v>118</v>
      </c>
      <c r="D7" s="12" t="s">
        <v>145</v>
      </c>
    </row>
    <row r="8" spans="1:6" ht="14.4" x14ac:dyDescent="0.3">
      <c r="A8" s="4" t="s">
        <v>146</v>
      </c>
      <c r="B8" s="11">
        <f>F18</f>
        <v>-2096407.69</v>
      </c>
      <c r="C8" s="12" t="s">
        <v>118</v>
      </c>
      <c r="D8" s="12" t="s">
        <v>147</v>
      </c>
    </row>
    <row r="9" spans="1:6" ht="14.4" x14ac:dyDescent="0.3">
      <c r="A9" s="40" t="s">
        <v>148</v>
      </c>
      <c r="B9" s="38"/>
      <c r="C9" s="38"/>
      <c r="D9" s="38"/>
      <c r="E9" s="38"/>
      <c r="F9" s="38"/>
    </row>
    <row r="10" spans="1:6" ht="14.4" x14ac:dyDescent="0.3">
      <c r="A10" s="3" t="s">
        <v>127</v>
      </c>
      <c r="B10" s="3" t="s">
        <v>128</v>
      </c>
      <c r="C10" s="3" t="s">
        <v>129</v>
      </c>
      <c r="D10" s="3" t="s">
        <v>130</v>
      </c>
      <c r="E10" s="3" t="s">
        <v>131</v>
      </c>
      <c r="F10" s="3" t="s">
        <v>132</v>
      </c>
    </row>
    <row r="11" spans="1:6" ht="14.4" x14ac:dyDescent="0.3">
      <c r="A11" s="4" t="s">
        <v>140</v>
      </c>
      <c r="B11" s="13">
        <v>581455</v>
      </c>
      <c r="C11" s="17">
        <f>B18</f>
        <v>-86220.689999999944</v>
      </c>
      <c r="D11" s="17">
        <f>C18</f>
        <v>-969255.69</v>
      </c>
      <c r="E11" s="17">
        <f>D18</f>
        <v>-1652946.94</v>
      </c>
      <c r="F11" s="14">
        <f>B11</f>
        <v>581455</v>
      </c>
    </row>
    <row r="12" spans="1:6" ht="14.4" x14ac:dyDescent="0.3">
      <c r="A12" s="4" t="s">
        <v>149</v>
      </c>
      <c r="B12" s="13">
        <v>0</v>
      </c>
      <c r="C12" s="13">
        <v>30000</v>
      </c>
      <c r="D12" s="13">
        <v>421125</v>
      </c>
      <c r="E12" s="13">
        <v>778182.87</v>
      </c>
      <c r="F12" s="13">
        <f t="shared" ref="F12:F17" si="0">SUM(B12:E12)</f>
        <v>1229307.8700000001</v>
      </c>
    </row>
    <row r="13" spans="1:6" ht="14.4" x14ac:dyDescent="0.3">
      <c r="A13" s="4" t="s">
        <v>150</v>
      </c>
      <c r="B13" s="13">
        <v>0</v>
      </c>
      <c r="C13" s="13">
        <v>248000</v>
      </c>
      <c r="D13" s="13">
        <v>296375</v>
      </c>
      <c r="E13" s="13">
        <v>439660.88</v>
      </c>
      <c r="F13" s="13">
        <f t="shared" si="0"/>
        <v>984035.88</v>
      </c>
    </row>
    <row r="14" spans="1:6" ht="14.4" x14ac:dyDescent="0.3">
      <c r="A14" s="4" t="s">
        <v>142</v>
      </c>
      <c r="B14" s="14">
        <f>B12+B13</f>
        <v>0</v>
      </c>
      <c r="C14" s="14">
        <f>C12+C13</f>
        <v>278000</v>
      </c>
      <c r="D14" s="14">
        <f>D12+D13</f>
        <v>717500</v>
      </c>
      <c r="E14" s="14">
        <f>E12+E13</f>
        <v>1217843.75</v>
      </c>
      <c r="F14" s="14">
        <f t="shared" si="0"/>
        <v>2213343.75</v>
      </c>
    </row>
    <row r="15" spans="1:6" ht="14.4" x14ac:dyDescent="0.3">
      <c r="A15" s="4" t="s">
        <v>134</v>
      </c>
      <c r="B15" s="17">
        <f>Financial_Overview!B12</f>
        <v>0</v>
      </c>
      <c r="C15" s="17">
        <f>Financial_Overview!C12</f>
        <v>-336000</v>
      </c>
      <c r="D15" s="17">
        <f>Financial_Overview!D12</f>
        <v>-626156.25</v>
      </c>
      <c r="E15" s="17">
        <f>Financial_Overview!E12</f>
        <v>-866269.5</v>
      </c>
      <c r="F15" s="17">
        <f t="shared" si="0"/>
        <v>-1828425.75</v>
      </c>
    </row>
    <row r="16" spans="1:6" ht="14.4" x14ac:dyDescent="0.3">
      <c r="A16" s="4" t="s">
        <v>151</v>
      </c>
      <c r="B16" s="17">
        <v>-667675.68999999994</v>
      </c>
      <c r="C16" s="17">
        <f>Financial_Overview!C15</f>
        <v>-825035</v>
      </c>
      <c r="D16" s="17">
        <f>Financial_Overview!D15</f>
        <v>-775035</v>
      </c>
      <c r="E16" s="17">
        <f>Financial_Overview!E15</f>
        <v>-795035</v>
      </c>
      <c r="F16" s="17">
        <f t="shared" si="0"/>
        <v>-3062780.69</v>
      </c>
    </row>
    <row r="17" spans="1:6" ht="14.4" x14ac:dyDescent="0.3">
      <c r="A17" s="4" t="s">
        <v>152</v>
      </c>
      <c r="B17" s="14">
        <f>B14+B15+B16</f>
        <v>-667675.68999999994</v>
      </c>
      <c r="C17" s="14">
        <f>C14+C15+C16</f>
        <v>-883035</v>
      </c>
      <c r="D17" s="14">
        <f>D14+D15+D16</f>
        <v>-683691.25</v>
      </c>
      <c r="E17" s="14">
        <f>E14+E15+E16</f>
        <v>-443460.75</v>
      </c>
      <c r="F17" s="14">
        <f t="shared" si="0"/>
        <v>-2677862.69</v>
      </c>
    </row>
    <row r="18" spans="1:6" ht="14.4" x14ac:dyDescent="0.3">
      <c r="A18" s="4" t="s">
        <v>146</v>
      </c>
      <c r="B18" s="14">
        <f>B11+B17</f>
        <v>-86220.689999999944</v>
      </c>
      <c r="C18" s="14">
        <f>C11+C17</f>
        <v>-969255.69</v>
      </c>
      <c r="D18" s="14">
        <f>D11+D17</f>
        <v>-1652946.94</v>
      </c>
      <c r="E18" s="14">
        <f>E11+E17</f>
        <v>-2096407.69</v>
      </c>
      <c r="F18" s="14">
        <f>E18</f>
        <v>-2096407.69</v>
      </c>
    </row>
    <row r="19" spans="1:6" ht="14.4" x14ac:dyDescent="0.3">
      <c r="A19" s="4" t="s">
        <v>153</v>
      </c>
      <c r="B19" s="14">
        <f>IF(B18&lt;0,B18,0)</f>
        <v>-86220.689999999944</v>
      </c>
      <c r="C19" s="14">
        <f>IF(C18&lt;0,C18,0)</f>
        <v>-969255.69</v>
      </c>
      <c r="D19" s="14">
        <f>IF(D18&lt;0,D18,0)</f>
        <v>-1652946.94</v>
      </c>
      <c r="E19" s="14">
        <f>IF(E18&lt;0,E18,0)</f>
        <v>-2096407.69</v>
      </c>
      <c r="F19" s="14">
        <f>MIN(F18,0)</f>
        <v>-2096407.69</v>
      </c>
    </row>
    <row r="21" spans="1:6" ht="15.75" customHeight="1" x14ac:dyDescent="0.3"/>
    <row r="22" spans="1:6" ht="15.75" customHeight="1" x14ac:dyDescent="0.3"/>
    <row r="23" spans="1:6" ht="15.75" customHeight="1" x14ac:dyDescent="0.3"/>
    <row r="24" spans="1:6" ht="15.75" customHeight="1" x14ac:dyDescent="0.3"/>
    <row r="25" spans="1:6" ht="15.75" customHeight="1" x14ac:dyDescent="0.3"/>
    <row r="26" spans="1:6" ht="15.75" customHeight="1" x14ac:dyDescent="0.3"/>
    <row r="27" spans="1:6" ht="15.75" customHeight="1" x14ac:dyDescent="0.3"/>
    <row r="28" spans="1:6" ht="15.75" customHeight="1" x14ac:dyDescent="0.3"/>
    <row r="29" spans="1:6" ht="15.75" customHeight="1" x14ac:dyDescent="0.3"/>
    <row r="30" spans="1:6" ht="15.75" customHeight="1" x14ac:dyDescent="0.3"/>
    <row r="31" spans="1:6" ht="15.75" customHeight="1" x14ac:dyDescent="0.3"/>
    <row r="32" spans="1:6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A2:F2"/>
    <mergeCell ref="A1:F1"/>
    <mergeCell ref="A3:D3"/>
    <mergeCell ref="A9:F9"/>
  </mergeCells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showGridLines="0" workbookViewId="0"/>
  </sheetViews>
  <sheetFormatPr defaultColWidth="14.44140625" defaultRowHeight="15" customHeight="1" x14ac:dyDescent="0.3"/>
  <cols>
    <col min="1" max="1" width="28" customWidth="1"/>
    <col min="2" max="2" width="90" customWidth="1"/>
    <col min="3" max="3" width="35" customWidth="1"/>
    <col min="4" max="4" width="8.6640625" customWidth="1"/>
    <col min="5" max="6" width="18" customWidth="1"/>
    <col min="7" max="7" width="12" customWidth="1"/>
    <col min="8" max="26" width="8.6640625" customWidth="1"/>
  </cols>
  <sheetData>
    <row r="1" spans="1:7" ht="18" x14ac:dyDescent="0.3">
      <c r="A1" s="39" t="s">
        <v>54</v>
      </c>
      <c r="B1" s="38"/>
      <c r="C1" s="38"/>
      <c r="D1" s="38"/>
      <c r="E1" s="38"/>
      <c r="F1" s="38"/>
      <c r="G1" s="38"/>
    </row>
    <row r="2" spans="1:7" ht="14.4" x14ac:dyDescent="0.3">
      <c r="A2" s="37" t="s">
        <v>154</v>
      </c>
      <c r="B2" s="38"/>
      <c r="C2" s="38"/>
      <c r="D2" s="38"/>
      <c r="E2" s="38"/>
      <c r="F2" s="38"/>
      <c r="G2" s="38"/>
    </row>
    <row r="3" spans="1:7" ht="14.4" x14ac:dyDescent="0.3">
      <c r="A3" s="40" t="s">
        <v>155</v>
      </c>
      <c r="B3" s="38"/>
    </row>
    <row r="4" spans="1:7" ht="14.4" x14ac:dyDescent="0.3">
      <c r="A4" s="3" t="s">
        <v>156</v>
      </c>
      <c r="B4" s="3" t="s">
        <v>157</v>
      </c>
    </row>
    <row r="5" spans="1:7" ht="43.2" x14ac:dyDescent="0.3">
      <c r="A5" s="4" t="s">
        <v>158</v>
      </c>
      <c r="B5" s="5" t="s">
        <v>159</v>
      </c>
    </row>
    <row r="7" spans="1:7" ht="14.4" x14ac:dyDescent="0.3">
      <c r="A7" s="40" t="s">
        <v>59</v>
      </c>
      <c r="B7" s="38"/>
    </row>
    <row r="8" spans="1:7" ht="14.4" x14ac:dyDescent="0.3">
      <c r="A8" s="3" t="s">
        <v>160</v>
      </c>
      <c r="B8" s="3" t="s">
        <v>127</v>
      </c>
      <c r="E8" s="18" t="s">
        <v>161</v>
      </c>
      <c r="F8" s="18" t="s">
        <v>162</v>
      </c>
      <c r="G8" s="18" t="s">
        <v>163</v>
      </c>
    </row>
    <row r="9" spans="1:7" ht="28.8" x14ac:dyDescent="0.3">
      <c r="A9" s="4" t="s">
        <v>164</v>
      </c>
      <c r="B9" s="5" t="s">
        <v>165</v>
      </c>
      <c r="E9" s="1" t="s">
        <v>166</v>
      </c>
      <c r="F9" s="19">
        <f>SUM(Pipeline_Revenue!B11:B22)</f>
        <v>1828426</v>
      </c>
      <c r="G9" s="20">
        <f>IFERROR(F9/SUM(F9:F10),0)</f>
        <v>0.59999973747923629</v>
      </c>
    </row>
    <row r="10" spans="1:7" ht="14.4" x14ac:dyDescent="0.3">
      <c r="A10" s="4" t="s">
        <v>167</v>
      </c>
      <c r="B10" s="5" t="s">
        <v>168</v>
      </c>
      <c r="E10" s="1" t="s">
        <v>169</v>
      </c>
      <c r="F10" s="19">
        <f>SUM(Pipeline_Revenue!C11:C22)</f>
        <v>1218952</v>
      </c>
      <c r="G10" s="20">
        <f>IFERROR(F10/SUM(F9:F10),0)</f>
        <v>0.40000026252076376</v>
      </c>
    </row>
    <row r="11" spans="1:7" ht="14.4" x14ac:dyDescent="0.3">
      <c r="A11" s="1" t="s">
        <v>170</v>
      </c>
      <c r="B11" s="10" t="s">
        <v>171</v>
      </c>
    </row>
    <row r="12" spans="1:7" ht="14.4" x14ac:dyDescent="0.3">
      <c r="A12" s="40" t="s">
        <v>62</v>
      </c>
      <c r="B12" s="38"/>
      <c r="C12" s="38"/>
    </row>
    <row r="13" spans="1:7" ht="14.4" x14ac:dyDescent="0.3">
      <c r="A13" s="3" t="s">
        <v>172</v>
      </c>
      <c r="B13" s="3" t="s">
        <v>173</v>
      </c>
      <c r="C13" s="3" t="s">
        <v>174</v>
      </c>
    </row>
    <row r="14" spans="1:7" ht="43.2" x14ac:dyDescent="0.3">
      <c r="A14" s="7" t="s">
        <v>175</v>
      </c>
      <c r="B14" s="5" t="s">
        <v>176</v>
      </c>
      <c r="C14" s="5" t="s">
        <v>177</v>
      </c>
    </row>
    <row r="15" spans="1:7" ht="28.8" x14ac:dyDescent="0.3">
      <c r="A15" s="7" t="s">
        <v>178</v>
      </c>
      <c r="B15" s="5" t="s">
        <v>179</v>
      </c>
      <c r="C15" s="5" t="s">
        <v>180</v>
      </c>
    </row>
    <row r="17" spans="1:2" ht="14.4" x14ac:dyDescent="0.3">
      <c r="A17" s="40" t="s">
        <v>181</v>
      </c>
      <c r="B17" s="38"/>
    </row>
    <row r="18" spans="1:2" ht="14.4" x14ac:dyDescent="0.3">
      <c r="A18" s="3" t="s">
        <v>182</v>
      </c>
      <c r="B18" s="3" t="s">
        <v>183</v>
      </c>
    </row>
    <row r="19" spans="1:2" ht="14.4" x14ac:dyDescent="0.3">
      <c r="A19" s="4" t="s">
        <v>184</v>
      </c>
      <c r="B19" s="5" t="s">
        <v>185</v>
      </c>
    </row>
    <row r="20" spans="1:2" ht="14.4" x14ac:dyDescent="0.3">
      <c r="A20" s="4" t="s">
        <v>186</v>
      </c>
      <c r="B20" s="5" t="s">
        <v>187</v>
      </c>
    </row>
    <row r="21" spans="1:2" ht="15.75" customHeight="1" x14ac:dyDescent="0.3">
      <c r="A21" s="4" t="s">
        <v>188</v>
      </c>
      <c r="B21" s="5" t="s">
        <v>189</v>
      </c>
    </row>
    <row r="22" spans="1:2" ht="15.75" customHeight="1" x14ac:dyDescent="0.3">
      <c r="A22" s="4" t="s">
        <v>190</v>
      </c>
      <c r="B22" s="5" t="s">
        <v>191</v>
      </c>
    </row>
    <row r="23" spans="1:2" ht="15.75" customHeight="1" x14ac:dyDescent="0.3">
      <c r="A23" s="4" t="s">
        <v>192</v>
      </c>
      <c r="B23" s="5" t="s">
        <v>193</v>
      </c>
    </row>
    <row r="24" spans="1:2" ht="15.75" customHeight="1" x14ac:dyDescent="0.3"/>
    <row r="25" spans="1:2" ht="15.75" customHeight="1" x14ac:dyDescent="0.3">
      <c r="A25" s="40" t="s">
        <v>194</v>
      </c>
      <c r="B25" s="38"/>
    </row>
    <row r="26" spans="1:2" ht="15.75" customHeight="1" x14ac:dyDescent="0.3">
      <c r="A26" s="3" t="s">
        <v>195</v>
      </c>
      <c r="B26" s="3" t="s">
        <v>183</v>
      </c>
    </row>
    <row r="27" spans="1:2" ht="15.75" customHeight="1" x14ac:dyDescent="0.3">
      <c r="A27" s="4" t="s">
        <v>196</v>
      </c>
      <c r="B27" s="5" t="s">
        <v>197</v>
      </c>
    </row>
    <row r="28" spans="1:2" ht="15.75" customHeight="1" x14ac:dyDescent="0.3">
      <c r="A28" s="4" t="s">
        <v>198</v>
      </c>
      <c r="B28" s="5" t="s">
        <v>199</v>
      </c>
    </row>
    <row r="29" spans="1:2" ht="15.75" customHeight="1" x14ac:dyDescent="0.3">
      <c r="A29" s="4" t="s">
        <v>200</v>
      </c>
      <c r="B29" s="5" t="s">
        <v>201</v>
      </c>
    </row>
    <row r="30" spans="1:2" ht="15.75" customHeight="1" x14ac:dyDescent="0.3">
      <c r="A30" s="4" t="s">
        <v>202</v>
      </c>
      <c r="B30" s="5" t="s">
        <v>203</v>
      </c>
    </row>
    <row r="31" spans="1:2" ht="15.75" customHeight="1" x14ac:dyDescent="0.3"/>
    <row r="32" spans="1: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7">
    <mergeCell ref="A1:G1"/>
    <mergeCell ref="A7:B7"/>
    <mergeCell ref="A25:B25"/>
    <mergeCell ref="A2:G2"/>
    <mergeCell ref="A17:B17"/>
    <mergeCell ref="A12:C12"/>
    <mergeCell ref="A3:B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00"/>
  <sheetViews>
    <sheetView showGridLines="0" workbookViewId="0">
      <selection activeCell="B7" sqref="B7"/>
    </sheetView>
  </sheetViews>
  <sheetFormatPr defaultColWidth="14.44140625" defaultRowHeight="15" customHeight="1" x14ac:dyDescent="0.3"/>
  <cols>
    <col min="1" max="1" width="24" customWidth="1"/>
    <col min="2" max="2" width="16.33203125" customWidth="1"/>
    <col min="3" max="6" width="16" customWidth="1"/>
    <col min="7" max="7" width="24" customWidth="1"/>
    <col min="8" max="8" width="18" customWidth="1"/>
    <col min="9" max="9" width="24" customWidth="1"/>
    <col min="10" max="26" width="8.6640625" customWidth="1"/>
  </cols>
  <sheetData>
    <row r="1" spans="1:9" ht="18" x14ac:dyDescent="0.3">
      <c r="A1" s="39" t="s">
        <v>71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204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40" t="s">
        <v>72</v>
      </c>
      <c r="B3" s="38"/>
      <c r="C3" s="38"/>
    </row>
    <row r="4" spans="1:9" ht="14.4" x14ac:dyDescent="0.3">
      <c r="A4" s="3" t="s">
        <v>205</v>
      </c>
      <c r="B4" s="3" t="s">
        <v>114</v>
      </c>
      <c r="C4" s="3" t="s">
        <v>206</v>
      </c>
    </row>
    <row r="5" spans="1:9" ht="43.2" x14ac:dyDescent="0.3">
      <c r="A5" s="4" t="s">
        <v>207</v>
      </c>
      <c r="B5" s="14">
        <f>SUM(D11:D22)</f>
        <v>3047378</v>
      </c>
      <c r="C5" s="5" t="s">
        <v>208</v>
      </c>
    </row>
    <row r="6" spans="1:9" ht="43.2" x14ac:dyDescent="0.3">
      <c r="A6" s="4" t="s">
        <v>209</v>
      </c>
      <c r="B6" s="13">
        <v>2100000</v>
      </c>
      <c r="C6" s="5" t="s">
        <v>210</v>
      </c>
    </row>
    <row r="7" spans="1:9" ht="28.8" x14ac:dyDescent="0.3">
      <c r="A7" s="1" t="s">
        <v>79</v>
      </c>
      <c r="B7" s="21">
        <v>4</v>
      </c>
      <c r="C7" s="10" t="s">
        <v>211</v>
      </c>
    </row>
    <row r="9" spans="1:9" ht="14.4" x14ac:dyDescent="0.3">
      <c r="A9" s="40" t="s">
        <v>212</v>
      </c>
      <c r="B9" s="38"/>
      <c r="C9" s="38"/>
      <c r="D9" s="38"/>
      <c r="E9" s="38"/>
    </row>
    <row r="10" spans="1:9" ht="14.4" x14ac:dyDescent="0.3">
      <c r="A10" s="3" t="s">
        <v>213</v>
      </c>
      <c r="B10" s="3" t="s">
        <v>214</v>
      </c>
      <c r="C10" s="3" t="s">
        <v>215</v>
      </c>
      <c r="D10" s="3" t="s">
        <v>216</v>
      </c>
      <c r="E10" s="3" t="s">
        <v>217</v>
      </c>
      <c r="G10" s="18" t="s">
        <v>218</v>
      </c>
      <c r="H10" s="18" t="s">
        <v>219</v>
      </c>
      <c r="I10" s="18" t="s">
        <v>38</v>
      </c>
    </row>
    <row r="11" spans="1:9" ht="14.4" x14ac:dyDescent="0.3">
      <c r="A11" s="4" t="s">
        <v>220</v>
      </c>
      <c r="B11" s="13">
        <v>0</v>
      </c>
      <c r="C11" s="13">
        <v>0</v>
      </c>
      <c r="D11" s="14">
        <f t="shared" ref="D11:D22" si="0">B11+C11</f>
        <v>0</v>
      </c>
      <c r="E11" s="12" t="s">
        <v>128</v>
      </c>
      <c r="G11" s="1" t="s">
        <v>221</v>
      </c>
      <c r="H11" s="22">
        <v>500000</v>
      </c>
      <c r="I11" s="2" t="s">
        <v>222</v>
      </c>
    </row>
    <row r="12" spans="1:9" ht="14.4" x14ac:dyDescent="0.3">
      <c r="A12" s="4" t="s">
        <v>223</v>
      </c>
      <c r="B12" s="13">
        <v>0</v>
      </c>
      <c r="C12" s="13">
        <v>0</v>
      </c>
      <c r="D12" s="14">
        <f t="shared" si="0"/>
        <v>0</v>
      </c>
      <c r="E12" s="12" t="s">
        <v>128</v>
      </c>
      <c r="G12" s="1" t="s">
        <v>224</v>
      </c>
      <c r="H12" s="22">
        <v>500000</v>
      </c>
      <c r="I12" s="2" t="s">
        <v>222</v>
      </c>
    </row>
    <row r="13" spans="1:9" ht="14.4" x14ac:dyDescent="0.3">
      <c r="A13" s="4" t="s">
        <v>225</v>
      </c>
      <c r="B13" s="13">
        <v>0</v>
      </c>
      <c r="C13" s="13">
        <v>30000</v>
      </c>
      <c r="D13" s="14">
        <f t="shared" si="0"/>
        <v>30000</v>
      </c>
      <c r="E13" s="12" t="s">
        <v>128</v>
      </c>
      <c r="G13" s="1" t="s">
        <v>226</v>
      </c>
      <c r="H13" s="22">
        <v>350000</v>
      </c>
      <c r="I13" s="2" t="s">
        <v>222</v>
      </c>
    </row>
    <row r="14" spans="1:9" ht="14.4" x14ac:dyDescent="0.3">
      <c r="A14" s="4" t="s">
        <v>227</v>
      </c>
      <c r="B14" s="13">
        <v>0</v>
      </c>
      <c r="C14" s="13">
        <v>90000</v>
      </c>
      <c r="D14" s="14">
        <f t="shared" si="0"/>
        <v>90000</v>
      </c>
      <c r="E14" s="12" t="s">
        <v>129</v>
      </c>
      <c r="G14" s="1" t="s">
        <v>228</v>
      </c>
      <c r="H14" s="22">
        <v>330000</v>
      </c>
      <c r="I14" s="2" t="s">
        <v>222</v>
      </c>
    </row>
    <row r="15" spans="1:9" ht="14.4" x14ac:dyDescent="0.3">
      <c r="A15" s="4" t="s">
        <v>229</v>
      </c>
      <c r="B15" s="13">
        <v>100000</v>
      </c>
      <c r="C15" s="13">
        <v>40000</v>
      </c>
      <c r="D15" s="14">
        <f t="shared" si="0"/>
        <v>140000</v>
      </c>
      <c r="E15" s="12" t="s">
        <v>129</v>
      </c>
      <c r="G15" s="1" t="s">
        <v>230</v>
      </c>
      <c r="H15" s="22">
        <v>220000</v>
      </c>
      <c r="I15" s="2" t="s">
        <v>222</v>
      </c>
    </row>
    <row r="16" spans="1:9" ht="14.4" x14ac:dyDescent="0.3">
      <c r="A16" s="4" t="s">
        <v>231</v>
      </c>
      <c r="B16" s="13">
        <v>185000</v>
      </c>
      <c r="C16" s="13">
        <v>115000</v>
      </c>
      <c r="D16" s="14">
        <f t="shared" si="0"/>
        <v>300000</v>
      </c>
      <c r="E16" s="12" t="s">
        <v>129</v>
      </c>
      <c r="G16" s="1" t="s">
        <v>232</v>
      </c>
      <c r="H16" s="22">
        <v>70000</v>
      </c>
      <c r="I16" s="2" t="s">
        <v>222</v>
      </c>
    </row>
    <row r="17" spans="1:9" ht="14.4" x14ac:dyDescent="0.3">
      <c r="A17" s="4" t="s">
        <v>233</v>
      </c>
      <c r="B17" s="13">
        <v>136125</v>
      </c>
      <c r="C17" s="13">
        <v>111375</v>
      </c>
      <c r="D17" s="14">
        <f t="shared" si="0"/>
        <v>247500</v>
      </c>
      <c r="E17" s="12" t="s">
        <v>130</v>
      </c>
      <c r="G17" s="1" t="s">
        <v>234</v>
      </c>
      <c r="H17" s="22">
        <v>50000</v>
      </c>
      <c r="I17" s="2" t="s">
        <v>222</v>
      </c>
    </row>
    <row r="18" spans="1:9" ht="14.4" x14ac:dyDescent="0.3">
      <c r="A18" s="4" t="s">
        <v>235</v>
      </c>
      <c r="B18" s="13">
        <v>170156</v>
      </c>
      <c r="C18" s="13">
        <v>139219</v>
      </c>
      <c r="D18" s="14">
        <f t="shared" si="0"/>
        <v>309375</v>
      </c>
      <c r="E18" s="12" t="s">
        <v>130</v>
      </c>
      <c r="G18" s="1" t="s">
        <v>236</v>
      </c>
      <c r="H18" s="22">
        <v>45000</v>
      </c>
      <c r="I18" s="2" t="s">
        <v>222</v>
      </c>
    </row>
    <row r="19" spans="1:9" ht="14.4" x14ac:dyDescent="0.3">
      <c r="A19" s="4" t="s">
        <v>237</v>
      </c>
      <c r="B19" s="13">
        <v>331064</v>
      </c>
      <c r="C19" s="13">
        <v>155655</v>
      </c>
      <c r="D19" s="14">
        <f t="shared" si="0"/>
        <v>486719</v>
      </c>
      <c r="E19" s="12" t="s">
        <v>130</v>
      </c>
      <c r="G19" s="1" t="s">
        <v>238</v>
      </c>
      <c r="H19" s="22">
        <v>30000</v>
      </c>
      <c r="I19" s="2" t="s">
        <v>222</v>
      </c>
    </row>
    <row r="20" spans="1:9" ht="14.4" x14ac:dyDescent="0.3">
      <c r="A20" s="4" t="s">
        <v>239</v>
      </c>
      <c r="B20" s="13">
        <v>276963</v>
      </c>
      <c r="C20" s="13">
        <v>144788</v>
      </c>
      <c r="D20" s="14">
        <f t="shared" si="0"/>
        <v>421751</v>
      </c>
      <c r="E20" s="12" t="s">
        <v>131</v>
      </c>
      <c r="G20" s="1" t="s">
        <v>240</v>
      </c>
      <c r="H20" s="21">
        <f>SUM(H11:H19)</f>
        <v>2095000</v>
      </c>
    </row>
    <row r="21" spans="1:9" ht="15.75" customHeight="1" x14ac:dyDescent="0.3">
      <c r="A21" s="4" t="s">
        <v>241</v>
      </c>
      <c r="B21" s="13">
        <v>330051</v>
      </c>
      <c r="C21" s="13">
        <v>188224</v>
      </c>
      <c r="D21" s="14">
        <f t="shared" si="0"/>
        <v>518275</v>
      </c>
      <c r="E21" s="12" t="s">
        <v>131</v>
      </c>
    </row>
    <row r="22" spans="1:9" ht="15.75" customHeight="1" x14ac:dyDescent="0.3">
      <c r="A22" s="4" t="s">
        <v>242</v>
      </c>
      <c r="B22" s="13">
        <v>299067</v>
      </c>
      <c r="C22" s="13">
        <v>204691</v>
      </c>
      <c r="D22" s="14">
        <f t="shared" si="0"/>
        <v>503758</v>
      </c>
      <c r="E22" s="12" t="s">
        <v>131</v>
      </c>
    </row>
    <row r="23" spans="1:9" ht="15.75" customHeight="1" x14ac:dyDescent="0.3">
      <c r="A23" s="4" t="s">
        <v>243</v>
      </c>
      <c r="B23" s="14">
        <f>SUM(B11:B22)</f>
        <v>1828426</v>
      </c>
      <c r="C23" s="14">
        <f>SUM(C11:C22)</f>
        <v>1218952</v>
      </c>
      <c r="D23" s="14">
        <f>SUM(D11:D22)</f>
        <v>3047378</v>
      </c>
      <c r="E23" s="12"/>
    </row>
    <row r="24" spans="1:9" ht="15.75" customHeight="1" x14ac:dyDescent="0.3"/>
    <row r="25" spans="1:9" ht="15.75" customHeight="1" x14ac:dyDescent="0.3">
      <c r="A25" s="40" t="s">
        <v>244</v>
      </c>
      <c r="B25" s="38"/>
      <c r="C25" s="38"/>
      <c r="D25" s="38"/>
      <c r="E25" s="38"/>
      <c r="F25" s="38"/>
    </row>
    <row r="26" spans="1:9" ht="15.75" customHeight="1" x14ac:dyDescent="0.3">
      <c r="A26" s="3" t="s">
        <v>127</v>
      </c>
      <c r="B26" s="3" t="s">
        <v>128</v>
      </c>
      <c r="C26" s="3" t="s">
        <v>129</v>
      </c>
      <c r="D26" s="3" t="s">
        <v>130</v>
      </c>
      <c r="E26" s="3" t="s">
        <v>131</v>
      </c>
      <c r="F26" s="3" t="s">
        <v>132</v>
      </c>
    </row>
    <row r="27" spans="1:9" ht="15.75" customHeight="1" x14ac:dyDescent="0.3">
      <c r="A27" s="4" t="s">
        <v>149</v>
      </c>
      <c r="B27" s="17">
        <f>Cash_Flow!B12</f>
        <v>0</v>
      </c>
      <c r="C27" s="17">
        <f>Cash_Flow!C12</f>
        <v>30000</v>
      </c>
      <c r="D27" s="17">
        <f>Cash_Flow!D12</f>
        <v>421125</v>
      </c>
      <c r="E27" s="17">
        <f>Cash_Flow!E12</f>
        <v>778182.87</v>
      </c>
      <c r="F27" s="17">
        <f>SUM(B27:E27)</f>
        <v>1229307.8700000001</v>
      </c>
    </row>
    <row r="28" spans="1:9" ht="15.75" customHeight="1" x14ac:dyDescent="0.3">
      <c r="A28" s="4" t="s">
        <v>150</v>
      </c>
      <c r="B28" s="17">
        <f>Cash_Flow!B13</f>
        <v>0</v>
      </c>
      <c r="C28" s="17">
        <f>Cash_Flow!C13</f>
        <v>248000</v>
      </c>
      <c r="D28" s="17">
        <f>Cash_Flow!D13</f>
        <v>296375</v>
      </c>
      <c r="E28" s="17">
        <f>Cash_Flow!E13</f>
        <v>439660.88</v>
      </c>
      <c r="F28" s="17">
        <f>SUM(B28:E28)</f>
        <v>984035.88</v>
      </c>
    </row>
    <row r="29" spans="1:9" ht="15.75" customHeight="1" x14ac:dyDescent="0.3">
      <c r="A29" s="4" t="s">
        <v>245</v>
      </c>
      <c r="B29" s="14">
        <f>B27+B28</f>
        <v>0</v>
      </c>
      <c r="C29" s="14">
        <f>C27+C28</f>
        <v>278000</v>
      </c>
      <c r="D29" s="14">
        <f>D27+D28</f>
        <v>717500</v>
      </c>
      <c r="E29" s="14">
        <f>E27+E28</f>
        <v>1217843.75</v>
      </c>
      <c r="F29" s="14">
        <f>SUM(B29:E29)</f>
        <v>2213343.75</v>
      </c>
    </row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A2:H2"/>
    <mergeCell ref="A3:C3"/>
    <mergeCell ref="A1:H1"/>
    <mergeCell ref="A9:E9"/>
    <mergeCell ref="A25:F25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001"/>
  <sheetViews>
    <sheetView showGridLines="0" workbookViewId="0">
      <pane ySplit="2" topLeftCell="A3" activePane="bottomLeft" state="frozen"/>
      <selection pane="bottomLeft" activeCell="G8" activeCellId="1" sqref="G21 G8"/>
    </sheetView>
  </sheetViews>
  <sheetFormatPr defaultColWidth="14.44140625" defaultRowHeight="15" customHeight="1" x14ac:dyDescent="0.3"/>
  <cols>
    <col min="1" max="1" width="22" customWidth="1"/>
    <col min="2" max="2" width="34" customWidth="1"/>
    <col min="3" max="3" width="18" customWidth="1"/>
    <col min="4" max="4" width="14" customWidth="1"/>
    <col min="5" max="6" width="16" customWidth="1"/>
    <col min="7" max="7" width="18" customWidth="1"/>
    <col min="8" max="8" width="16" customWidth="1"/>
    <col min="9" max="9" width="22" customWidth="1"/>
    <col min="10" max="26" width="8.6640625" customWidth="1"/>
  </cols>
  <sheetData>
    <row r="1" spans="1:9" ht="18" x14ac:dyDescent="0.3">
      <c r="A1" s="39" t="s">
        <v>246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247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3" t="s">
        <v>218</v>
      </c>
      <c r="B3" s="3" t="s">
        <v>248</v>
      </c>
      <c r="C3" s="3" t="s">
        <v>249</v>
      </c>
      <c r="D3" s="3" t="s">
        <v>250</v>
      </c>
      <c r="E3" s="3" t="s">
        <v>251</v>
      </c>
      <c r="F3" s="3" t="s">
        <v>252</v>
      </c>
      <c r="G3" s="3" t="s">
        <v>253</v>
      </c>
      <c r="H3" s="3" t="s">
        <v>254</v>
      </c>
      <c r="I3" s="3" t="s">
        <v>38</v>
      </c>
    </row>
    <row r="4" spans="1:9" ht="14.4" x14ac:dyDescent="0.3">
      <c r="A4" s="4" t="s">
        <v>238</v>
      </c>
      <c r="B4" s="5" t="s">
        <v>255</v>
      </c>
      <c r="C4" s="12" t="s">
        <v>256</v>
      </c>
      <c r="D4" s="12" t="s">
        <v>257</v>
      </c>
      <c r="E4" s="13">
        <v>30000</v>
      </c>
      <c r="F4" s="23">
        <v>0.95</v>
      </c>
      <c r="G4" s="14">
        <f t="shared" ref="G4:G10" si="0">IF(AND(E4&lt;&gt;0,NOT(ISBLANK(E4)),NOT(ISBLANK(F4))),E4*F4,"")</f>
        <v>28500</v>
      </c>
      <c r="H4" s="24" t="s">
        <v>250</v>
      </c>
      <c r="I4" s="12" t="s">
        <v>258</v>
      </c>
    </row>
    <row r="5" spans="1:9" ht="14.4" x14ac:dyDescent="0.3">
      <c r="A5" s="4" t="s">
        <v>259</v>
      </c>
      <c r="B5" s="5" t="s">
        <v>260</v>
      </c>
      <c r="C5" s="12" t="s">
        <v>256</v>
      </c>
      <c r="D5" s="12" t="s">
        <v>261</v>
      </c>
      <c r="E5" s="13">
        <v>75000</v>
      </c>
      <c r="F5" s="23">
        <v>1</v>
      </c>
      <c r="G5" s="14">
        <f t="shared" si="0"/>
        <v>75000</v>
      </c>
      <c r="H5" s="24" t="s">
        <v>250</v>
      </c>
      <c r="I5" s="12" t="s">
        <v>258</v>
      </c>
    </row>
    <row r="6" spans="1:9" ht="14.4" x14ac:dyDescent="0.3">
      <c r="A6" s="4" t="s">
        <v>224</v>
      </c>
      <c r="B6" s="5" t="s">
        <v>262</v>
      </c>
      <c r="C6" s="12" t="s">
        <v>256</v>
      </c>
      <c r="D6" s="12" t="s">
        <v>263</v>
      </c>
      <c r="E6" s="13"/>
      <c r="F6" s="23">
        <v>0.85</v>
      </c>
      <c r="G6" s="14" t="str">
        <f t="shared" si="0"/>
        <v/>
      </c>
      <c r="H6" s="24" t="s">
        <v>250</v>
      </c>
      <c r="I6" s="12" t="s">
        <v>258</v>
      </c>
    </row>
    <row r="7" spans="1:9" ht="14.4" x14ac:dyDescent="0.3">
      <c r="A7" s="4" t="s">
        <v>264</v>
      </c>
      <c r="B7" s="5" t="s">
        <v>265</v>
      </c>
      <c r="C7" s="12" t="s">
        <v>256</v>
      </c>
      <c r="D7" s="12" t="s">
        <v>266</v>
      </c>
      <c r="E7" s="13">
        <v>500000</v>
      </c>
      <c r="F7" s="23">
        <v>0.8</v>
      </c>
      <c r="G7" s="14">
        <f t="shared" si="0"/>
        <v>400000</v>
      </c>
      <c r="H7" s="24" t="s">
        <v>250</v>
      </c>
      <c r="I7" s="12" t="s">
        <v>258</v>
      </c>
    </row>
    <row r="8" spans="1:9" ht="14.4" x14ac:dyDescent="0.3">
      <c r="A8" s="4" t="s">
        <v>267</v>
      </c>
      <c r="B8" s="5" t="s">
        <v>268</v>
      </c>
      <c r="C8" s="12" t="s">
        <v>256</v>
      </c>
      <c r="D8" s="12" t="s">
        <v>266</v>
      </c>
      <c r="E8" s="13">
        <v>20000</v>
      </c>
      <c r="F8" s="23">
        <v>1</v>
      </c>
      <c r="G8" s="14">
        <f t="shared" si="0"/>
        <v>20000</v>
      </c>
      <c r="H8" s="24" t="s">
        <v>269</v>
      </c>
      <c r="I8" s="12" t="s">
        <v>258</v>
      </c>
    </row>
    <row r="9" spans="1:9" ht="14.4" x14ac:dyDescent="0.3">
      <c r="A9" s="4" t="s">
        <v>270</v>
      </c>
      <c r="B9" s="5" t="s">
        <v>271</v>
      </c>
      <c r="C9" s="12" t="s">
        <v>256</v>
      </c>
      <c r="D9" s="12" t="s">
        <v>272</v>
      </c>
      <c r="E9" s="13">
        <v>500000</v>
      </c>
      <c r="F9" s="23">
        <v>0.6</v>
      </c>
      <c r="G9" s="14">
        <f t="shared" si="0"/>
        <v>300000</v>
      </c>
      <c r="H9" s="24" t="s">
        <v>250</v>
      </c>
      <c r="I9" s="12" t="s">
        <v>258</v>
      </c>
    </row>
    <row r="10" spans="1:9" ht="14.4" x14ac:dyDescent="0.3">
      <c r="A10" s="4" t="s">
        <v>264</v>
      </c>
      <c r="B10" s="5" t="s">
        <v>273</v>
      </c>
      <c r="C10" s="12" t="s">
        <v>256</v>
      </c>
      <c r="D10" s="12" t="s">
        <v>274</v>
      </c>
      <c r="E10" s="13">
        <v>1000000</v>
      </c>
      <c r="F10" s="23">
        <v>0.6</v>
      </c>
      <c r="G10" s="14">
        <f t="shared" si="0"/>
        <v>600000</v>
      </c>
      <c r="H10" s="24" t="s">
        <v>250</v>
      </c>
      <c r="I10" s="12" t="s">
        <v>258</v>
      </c>
    </row>
    <row r="11" spans="1:9" ht="14.4" x14ac:dyDescent="0.3">
      <c r="A11" s="4" t="s">
        <v>275</v>
      </c>
      <c r="B11" s="5" t="s">
        <v>276</v>
      </c>
      <c r="C11" s="12" t="s">
        <v>256</v>
      </c>
      <c r="D11" s="12" t="s">
        <v>266</v>
      </c>
      <c r="E11" s="13"/>
      <c r="F11" s="23">
        <v>0.5</v>
      </c>
      <c r="G11" s="14">
        <v>50000</v>
      </c>
      <c r="H11" s="24" t="s">
        <v>250</v>
      </c>
      <c r="I11" s="12" t="s">
        <v>258</v>
      </c>
    </row>
    <row r="12" spans="1:9" ht="14.4" x14ac:dyDescent="0.3">
      <c r="A12" s="4" t="s">
        <v>277</v>
      </c>
      <c r="B12" s="5" t="s">
        <v>278</v>
      </c>
      <c r="C12" s="12" t="s">
        <v>256</v>
      </c>
      <c r="D12" s="12" t="s">
        <v>266</v>
      </c>
      <c r="E12" s="13"/>
      <c r="F12" s="23">
        <v>0.5</v>
      </c>
      <c r="G12" s="14">
        <v>50000</v>
      </c>
      <c r="H12" s="24" t="s">
        <v>250</v>
      </c>
      <c r="I12" s="12" t="s">
        <v>258</v>
      </c>
    </row>
    <row r="13" spans="1:9" ht="14.4" x14ac:dyDescent="0.3">
      <c r="A13" s="4" t="s">
        <v>279</v>
      </c>
      <c r="B13" s="5" t="s">
        <v>280</v>
      </c>
      <c r="C13" s="12" t="s">
        <v>256</v>
      </c>
      <c r="D13" s="12" t="s">
        <v>266</v>
      </c>
      <c r="E13" s="13"/>
      <c r="F13" s="23">
        <v>0.5</v>
      </c>
      <c r="G13" s="14">
        <v>50000</v>
      </c>
      <c r="H13" s="24" t="s">
        <v>250</v>
      </c>
      <c r="I13" s="12" t="s">
        <v>258</v>
      </c>
    </row>
    <row r="14" spans="1:9" ht="14.4" x14ac:dyDescent="0.3">
      <c r="A14" s="4" t="s">
        <v>281</v>
      </c>
      <c r="B14" s="5" t="s">
        <v>282</v>
      </c>
      <c r="C14" s="12" t="s">
        <v>256</v>
      </c>
      <c r="D14" s="12" t="s">
        <v>283</v>
      </c>
      <c r="E14" s="13">
        <v>100000</v>
      </c>
      <c r="F14" s="23">
        <v>0.5</v>
      </c>
      <c r="G14" s="14">
        <f t="shared" ref="G14:G23" si="1">IF(AND(E14&lt;&gt;0,NOT(ISBLANK(E14)),NOT(ISBLANK(F14))),E14*F14,"")</f>
        <v>50000</v>
      </c>
      <c r="H14" s="24" t="s">
        <v>250</v>
      </c>
      <c r="I14" s="12" t="s">
        <v>258</v>
      </c>
    </row>
    <row r="15" spans="1:9" ht="14.4" x14ac:dyDescent="0.3">
      <c r="A15" s="4" t="s">
        <v>221</v>
      </c>
      <c r="B15" s="5" t="s">
        <v>284</v>
      </c>
      <c r="C15" s="12" t="s">
        <v>285</v>
      </c>
      <c r="D15" s="12" t="s">
        <v>272</v>
      </c>
      <c r="E15" s="13">
        <v>500000</v>
      </c>
      <c r="F15" s="23">
        <v>0.5</v>
      </c>
      <c r="G15" s="14">
        <f t="shared" si="1"/>
        <v>250000</v>
      </c>
      <c r="H15" s="24" t="s">
        <v>250</v>
      </c>
      <c r="I15" s="12" t="s">
        <v>258</v>
      </c>
    </row>
    <row r="16" spans="1:9" ht="14.4" x14ac:dyDescent="0.3">
      <c r="A16" s="4" t="s">
        <v>264</v>
      </c>
      <c r="B16" s="5" t="s">
        <v>286</v>
      </c>
      <c r="C16" s="12" t="s">
        <v>256</v>
      </c>
      <c r="D16" s="12" t="s">
        <v>257</v>
      </c>
      <c r="E16" s="13">
        <v>90000</v>
      </c>
      <c r="F16" s="23">
        <v>0.5</v>
      </c>
      <c r="G16" s="14">
        <f t="shared" si="1"/>
        <v>45000</v>
      </c>
      <c r="H16" s="24" t="s">
        <v>250</v>
      </c>
      <c r="I16" s="12" t="s">
        <v>258</v>
      </c>
    </row>
    <row r="17" spans="1:9" ht="14.4" x14ac:dyDescent="0.3">
      <c r="A17" s="4" t="s">
        <v>287</v>
      </c>
      <c r="B17" s="5" t="s">
        <v>288</v>
      </c>
      <c r="C17" s="12" t="s">
        <v>256</v>
      </c>
      <c r="D17" s="12" t="s">
        <v>283</v>
      </c>
      <c r="E17" s="13"/>
      <c r="F17" s="23">
        <v>0.5</v>
      </c>
      <c r="G17" s="14" t="str">
        <f t="shared" si="1"/>
        <v/>
      </c>
      <c r="H17" s="24" t="s">
        <v>250</v>
      </c>
      <c r="I17" s="12" t="s">
        <v>258</v>
      </c>
    </row>
    <row r="18" spans="1:9" ht="14.4" x14ac:dyDescent="0.3">
      <c r="A18" s="4" t="s">
        <v>289</v>
      </c>
      <c r="B18" s="5" t="s">
        <v>260</v>
      </c>
      <c r="C18" s="12" t="s">
        <v>256</v>
      </c>
      <c r="D18" s="12" t="s">
        <v>266</v>
      </c>
      <c r="E18" s="13">
        <v>195000</v>
      </c>
      <c r="F18" s="23">
        <v>0.4</v>
      </c>
      <c r="G18" s="14">
        <f t="shared" si="1"/>
        <v>78000</v>
      </c>
      <c r="H18" s="24" t="s">
        <v>250</v>
      </c>
      <c r="I18" s="12" t="s">
        <v>258</v>
      </c>
    </row>
    <row r="19" spans="1:9" ht="14.4" x14ac:dyDescent="0.3">
      <c r="A19" s="4" t="s">
        <v>290</v>
      </c>
      <c r="B19" s="5" t="s">
        <v>291</v>
      </c>
      <c r="C19" s="12" t="s">
        <v>256</v>
      </c>
      <c r="D19" s="12" t="s">
        <v>292</v>
      </c>
      <c r="E19" s="13">
        <v>100000</v>
      </c>
      <c r="F19" s="23">
        <v>0.3</v>
      </c>
      <c r="G19" s="14">
        <f t="shared" si="1"/>
        <v>30000</v>
      </c>
      <c r="H19" s="24" t="s">
        <v>250</v>
      </c>
      <c r="I19" s="12" t="s">
        <v>258</v>
      </c>
    </row>
    <row r="20" spans="1:9" ht="14.4" x14ac:dyDescent="0.3">
      <c r="A20" s="4" t="s">
        <v>238</v>
      </c>
      <c r="B20" s="5" t="s">
        <v>273</v>
      </c>
      <c r="C20" s="12" t="s">
        <v>256</v>
      </c>
      <c r="D20" s="12" t="s">
        <v>274</v>
      </c>
      <c r="E20" s="13">
        <v>45000</v>
      </c>
      <c r="F20" s="23">
        <v>0.6</v>
      </c>
      <c r="G20" s="14">
        <f t="shared" si="1"/>
        <v>27000</v>
      </c>
      <c r="H20" s="24" t="s">
        <v>250</v>
      </c>
      <c r="I20" s="12" t="s">
        <v>258</v>
      </c>
    </row>
    <row r="21" spans="1:9" ht="15.75" customHeight="1" x14ac:dyDescent="0.3">
      <c r="A21" s="4" t="s">
        <v>238</v>
      </c>
      <c r="B21" s="5" t="s">
        <v>293</v>
      </c>
      <c r="C21" s="12" t="s">
        <v>256</v>
      </c>
      <c r="D21" s="12" t="s">
        <v>272</v>
      </c>
      <c r="E21" s="13">
        <v>30000</v>
      </c>
      <c r="F21" s="23">
        <v>1</v>
      </c>
      <c r="G21" s="14">
        <f t="shared" si="1"/>
        <v>30000</v>
      </c>
      <c r="H21" s="24" t="s">
        <v>269</v>
      </c>
      <c r="I21" s="12" t="s">
        <v>258</v>
      </c>
    </row>
    <row r="22" spans="1:9" ht="15.75" customHeight="1" x14ac:dyDescent="0.3">
      <c r="A22" s="4" t="s">
        <v>238</v>
      </c>
      <c r="B22" s="5" t="s">
        <v>260</v>
      </c>
      <c r="C22" s="12" t="s">
        <v>256</v>
      </c>
      <c r="D22" s="12" t="s">
        <v>292</v>
      </c>
      <c r="E22" s="13">
        <v>140000</v>
      </c>
      <c r="F22" s="23">
        <v>0.5</v>
      </c>
      <c r="G22" s="14">
        <f t="shared" si="1"/>
        <v>70000</v>
      </c>
      <c r="H22" s="24" t="s">
        <v>250</v>
      </c>
      <c r="I22" s="12" t="s">
        <v>258</v>
      </c>
    </row>
    <row r="23" spans="1:9" ht="15.75" customHeight="1" x14ac:dyDescent="0.3">
      <c r="A23" s="4" t="s">
        <v>294</v>
      </c>
      <c r="B23" s="5" t="s">
        <v>295</v>
      </c>
      <c r="C23" s="12" t="s">
        <v>256</v>
      </c>
      <c r="D23" s="12" t="s">
        <v>263</v>
      </c>
      <c r="E23" s="13">
        <v>100000</v>
      </c>
      <c r="F23" s="23">
        <v>0</v>
      </c>
      <c r="G23" s="14">
        <f t="shared" si="1"/>
        <v>0</v>
      </c>
      <c r="H23" s="24" t="s">
        <v>296</v>
      </c>
      <c r="I23" s="12" t="s">
        <v>258</v>
      </c>
    </row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</sheetData>
  <mergeCells count="2">
    <mergeCell ref="A2:H2"/>
    <mergeCell ref="A1:H1"/>
  </mergeCells>
  <pageMargins left="0.75" right="0.75" top="1" bottom="1" header="0" footer="0"/>
  <pageSetup orientation="landscape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00"/>
  <sheetViews>
    <sheetView showGridLines="0" tabSelected="1" workbookViewId="0">
      <pane ySplit="2" topLeftCell="A3" activePane="bottomLeft" state="frozen"/>
      <selection pane="bottomLeft" activeCell="B4" sqref="B4"/>
    </sheetView>
  </sheetViews>
  <sheetFormatPr defaultColWidth="14.44140625" defaultRowHeight="15" customHeight="1" x14ac:dyDescent="0.3"/>
  <cols>
    <col min="1" max="1" width="30" customWidth="1"/>
    <col min="2" max="3" width="16" customWidth="1"/>
    <col min="4" max="26" width="8.6640625" customWidth="1"/>
  </cols>
  <sheetData>
    <row r="1" spans="1:6" ht="18" x14ac:dyDescent="0.3">
      <c r="A1" s="39" t="s">
        <v>297</v>
      </c>
      <c r="B1" s="38"/>
      <c r="C1" s="38"/>
      <c r="D1" s="38"/>
      <c r="E1" s="38"/>
      <c r="F1" s="38"/>
    </row>
    <row r="2" spans="1:6" ht="14.4" x14ac:dyDescent="0.3">
      <c r="A2" s="37" t="s">
        <v>298</v>
      </c>
      <c r="B2" s="38"/>
      <c r="C2" s="38"/>
      <c r="D2" s="38"/>
      <c r="E2" s="38"/>
      <c r="F2" s="38"/>
    </row>
    <row r="3" spans="1:6" ht="14.4" x14ac:dyDescent="0.3">
      <c r="A3" s="3" t="s">
        <v>299</v>
      </c>
      <c r="B3" s="3" t="s">
        <v>300</v>
      </c>
      <c r="C3" s="3" t="s">
        <v>301</v>
      </c>
    </row>
    <row r="4" spans="1:6" ht="14.4" x14ac:dyDescent="0.3">
      <c r="A4" s="4" t="s">
        <v>302</v>
      </c>
      <c r="B4" s="24" t="s">
        <v>303</v>
      </c>
      <c r="C4" s="23">
        <v>1</v>
      </c>
    </row>
    <row r="5" spans="1:6" ht="14.4" x14ac:dyDescent="0.3">
      <c r="A5" s="4" t="s">
        <v>304</v>
      </c>
      <c r="B5" s="24" t="s">
        <v>303</v>
      </c>
      <c r="C5" s="23">
        <v>1</v>
      </c>
    </row>
    <row r="6" spans="1:6" ht="14.4" x14ac:dyDescent="0.3">
      <c r="A6" s="4" t="s">
        <v>305</v>
      </c>
      <c r="B6" s="24" t="s">
        <v>306</v>
      </c>
      <c r="C6" s="23">
        <v>0.5</v>
      </c>
    </row>
    <row r="7" spans="1:6" ht="14.4" x14ac:dyDescent="0.3">
      <c r="A7" s="4" t="s">
        <v>307</v>
      </c>
      <c r="B7" s="24" t="s">
        <v>306</v>
      </c>
      <c r="C7" s="23">
        <v>0.5</v>
      </c>
    </row>
    <row r="8" spans="1:6" ht="14.4" x14ac:dyDescent="0.3">
      <c r="A8" s="4" t="s">
        <v>308</v>
      </c>
      <c r="B8" s="24" t="s">
        <v>306</v>
      </c>
      <c r="C8" s="23">
        <v>0.5</v>
      </c>
    </row>
    <row r="9" spans="1:6" ht="14.4" x14ac:dyDescent="0.3">
      <c r="A9" s="4" t="s">
        <v>309</v>
      </c>
      <c r="B9" s="24" t="s">
        <v>306</v>
      </c>
      <c r="C9" s="23">
        <v>0.4</v>
      </c>
    </row>
    <row r="10" spans="1:6" ht="14.4" x14ac:dyDescent="0.3">
      <c r="A10" s="4" t="s">
        <v>310</v>
      </c>
      <c r="B10" s="24" t="s">
        <v>306</v>
      </c>
      <c r="C10" s="23">
        <v>0.3</v>
      </c>
    </row>
    <row r="11" spans="1:6" ht="14.4" x14ac:dyDescent="0.3">
      <c r="A11" s="4" t="s">
        <v>311</v>
      </c>
      <c r="B11" s="24" t="s">
        <v>312</v>
      </c>
      <c r="C11" s="23">
        <v>0.3</v>
      </c>
    </row>
    <row r="12" spans="1:6" ht="14.4" x14ac:dyDescent="0.3">
      <c r="A12" s="4" t="s">
        <v>313</v>
      </c>
      <c r="B12" s="24" t="s">
        <v>306</v>
      </c>
      <c r="C12" s="23">
        <v>0.3</v>
      </c>
    </row>
    <row r="13" spans="1:6" ht="14.4" x14ac:dyDescent="0.3">
      <c r="A13" s="4" t="s">
        <v>314</v>
      </c>
      <c r="B13" s="24" t="s">
        <v>312</v>
      </c>
      <c r="C13" s="23">
        <v>0.2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2">
    <mergeCell ref="A2:F2"/>
    <mergeCell ref="A1:F1"/>
  </mergeCells>
  <pageMargins left="0.75" right="0.75" top="1" bottom="1" header="0" footer="0"/>
  <pageSetup orientation="landscape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000"/>
  <sheetViews>
    <sheetView showGridLines="0" workbookViewId="0">
      <pane ySplit="3" topLeftCell="A4" activePane="bottomLeft" state="frozen"/>
      <selection pane="bottomLeft" activeCell="B5" sqref="B5"/>
    </sheetView>
  </sheetViews>
  <sheetFormatPr defaultColWidth="14.44140625" defaultRowHeight="15" customHeight="1" x14ac:dyDescent="0.3"/>
  <cols>
    <col min="1" max="1" width="24" customWidth="1"/>
    <col min="2" max="3" width="16" customWidth="1"/>
    <col min="4" max="4" width="18" customWidth="1"/>
    <col min="5" max="5" width="32" customWidth="1"/>
    <col min="6" max="6" width="16" customWidth="1"/>
    <col min="7" max="7" width="18" customWidth="1"/>
    <col min="8" max="8" width="22" customWidth="1"/>
    <col min="9" max="9" width="18" customWidth="1"/>
    <col min="10" max="26" width="8.6640625" customWidth="1"/>
  </cols>
  <sheetData>
    <row r="1" spans="1:9" ht="18" x14ac:dyDescent="0.3">
      <c r="A1" s="39" t="s">
        <v>87</v>
      </c>
      <c r="B1" s="38"/>
      <c r="C1" s="38"/>
      <c r="D1" s="38"/>
      <c r="E1" s="38"/>
      <c r="F1" s="38"/>
      <c r="G1" s="38"/>
      <c r="H1" s="38"/>
    </row>
    <row r="2" spans="1:9" ht="14.4" x14ac:dyDescent="0.3">
      <c r="A2" s="37" t="s">
        <v>315</v>
      </c>
      <c r="B2" s="38"/>
      <c r="C2" s="38"/>
      <c r="D2" s="38"/>
      <c r="E2" s="38"/>
      <c r="F2" s="38"/>
      <c r="G2" s="38"/>
      <c r="H2" s="38"/>
    </row>
    <row r="3" spans="1:9" ht="14.4" x14ac:dyDescent="0.3">
      <c r="A3" s="40" t="s">
        <v>316</v>
      </c>
      <c r="B3" s="38"/>
      <c r="C3" s="38"/>
      <c r="D3" s="38"/>
      <c r="E3" s="38"/>
      <c r="F3" s="38"/>
      <c r="G3" s="38"/>
    </row>
    <row r="4" spans="1:9" ht="14.4" x14ac:dyDescent="0.3">
      <c r="A4" s="3" t="s">
        <v>205</v>
      </c>
      <c r="B4" s="3" t="s">
        <v>317</v>
      </c>
      <c r="C4" s="3" t="s">
        <v>251</v>
      </c>
      <c r="D4" s="3" t="s">
        <v>318</v>
      </c>
      <c r="E4" s="3" t="s">
        <v>319</v>
      </c>
      <c r="F4" s="3" t="s">
        <v>320</v>
      </c>
      <c r="G4" s="3" t="s">
        <v>321</v>
      </c>
      <c r="H4" s="18" t="s">
        <v>322</v>
      </c>
      <c r="I4" s="18" t="s">
        <v>116</v>
      </c>
    </row>
    <row r="5" spans="1:9" ht="14.4" x14ac:dyDescent="0.3">
      <c r="A5" s="4" t="s">
        <v>323</v>
      </c>
      <c r="B5" s="13">
        <v>9</v>
      </c>
      <c r="C5" s="13">
        <v>3700000</v>
      </c>
      <c r="D5" s="13">
        <v>2</v>
      </c>
      <c r="E5" s="24" t="s">
        <v>324</v>
      </c>
      <c r="F5" s="13">
        <v>7</v>
      </c>
      <c r="G5" s="25">
        <v>0</v>
      </c>
      <c r="H5" s="21">
        <f>COUNTIF(Sales_Raw_Opportunities!F:F,G5)</f>
        <v>1</v>
      </c>
      <c r="I5" s="2" t="s">
        <v>325</v>
      </c>
    </row>
    <row r="6" spans="1:9" ht="14.4" x14ac:dyDescent="0.3">
      <c r="A6" s="4" t="s">
        <v>79</v>
      </c>
      <c r="B6" s="13">
        <f>COUNTA(Pipeline_Revenue!G11:G19)</f>
        <v>9</v>
      </c>
      <c r="C6" s="13">
        <f>SUM(Pipeline_Revenue!H11:H19)</f>
        <v>2095000</v>
      </c>
      <c r="D6" s="13">
        <f>COUNTIF(Pipeline_Revenue!A11:A19,"Apr")</f>
        <v>1</v>
      </c>
      <c r="E6" s="24"/>
      <c r="F6" s="13">
        <v>4</v>
      </c>
      <c r="G6" s="25">
        <v>0.3</v>
      </c>
      <c r="H6" s="21">
        <f>COUNTIF(Sales_Raw_Opportunities!F:F,G6)</f>
        <v>1</v>
      </c>
      <c r="I6" s="2" t="s">
        <v>325</v>
      </c>
    </row>
    <row r="7" spans="1:9" ht="14.4" x14ac:dyDescent="0.3">
      <c r="A7" s="4" t="s">
        <v>326</v>
      </c>
      <c r="B7" s="13">
        <f>COUNTIF(Sales_Raw_Opportunities!H:H,"Submitted")</f>
        <v>17</v>
      </c>
      <c r="C7" s="13">
        <f>SUMIF(Sales_Raw_Opportunities!H:H,"Submitted",Sales_Raw_Opportunities!E:E)</f>
        <v>3275000</v>
      </c>
      <c r="D7" s="13">
        <f>COUNTIFS(Sales_Raw_Opportunities!H:H,"Submitted",Sales_Raw_Opportunities!D:D,"Apr 2026")</f>
        <v>0</v>
      </c>
      <c r="E7" s="24"/>
      <c r="F7" s="13">
        <v>2</v>
      </c>
      <c r="G7" s="25">
        <v>0.4</v>
      </c>
      <c r="H7" s="21">
        <f>COUNTIF(Sales_Raw_Opportunities!F:F,G7)</f>
        <v>1</v>
      </c>
      <c r="I7" s="2" t="s">
        <v>325</v>
      </c>
    </row>
    <row r="8" spans="1:9" ht="14.4" x14ac:dyDescent="0.3">
      <c r="A8" s="4" t="s">
        <v>327</v>
      </c>
      <c r="B8" s="13">
        <f>COUNTIF(Sales_Raw_Opportunities!H:H,"Won")</f>
        <v>2</v>
      </c>
      <c r="C8" s="13">
        <f>SUMIF(Sales_Raw_Opportunities!H:H,"Won",Sales_Raw_Opportunities!E:E)</f>
        <v>50000</v>
      </c>
      <c r="D8" s="13">
        <f>COUNTIFS(Sales_Raw_Opportunities!H:H,"Won",Sales_Raw_Opportunities!D:D,"Apr 2026")</f>
        <v>0</v>
      </c>
      <c r="E8" s="24"/>
      <c r="F8" s="13">
        <v>0</v>
      </c>
      <c r="G8" s="25">
        <v>0.5</v>
      </c>
      <c r="H8" s="21">
        <f>COUNTIF(Sales_Raw_Opportunities!F:F,G8)</f>
        <v>8</v>
      </c>
      <c r="I8" s="2" t="s">
        <v>325</v>
      </c>
    </row>
    <row r="9" spans="1:9" ht="14.4" x14ac:dyDescent="0.3">
      <c r="A9" s="40" t="s">
        <v>91</v>
      </c>
      <c r="B9" s="38"/>
      <c r="C9" s="38"/>
      <c r="D9" s="38"/>
      <c r="E9" s="38"/>
      <c r="G9" s="26">
        <v>0.6</v>
      </c>
      <c r="H9" s="21">
        <f>COUNTIF(Sales_Raw_Opportunities!F:F,G9)</f>
        <v>3</v>
      </c>
      <c r="I9" s="2" t="s">
        <v>325</v>
      </c>
    </row>
    <row r="10" spans="1:9" ht="14.4" x14ac:dyDescent="0.3">
      <c r="A10" s="3" t="s">
        <v>254</v>
      </c>
      <c r="B10" s="3" t="s">
        <v>317</v>
      </c>
      <c r="C10" s="3" t="s">
        <v>251</v>
      </c>
      <c r="D10" s="3" t="s">
        <v>328</v>
      </c>
      <c r="E10" s="3" t="s">
        <v>206</v>
      </c>
      <c r="G10" s="26">
        <v>0.7</v>
      </c>
      <c r="H10" s="21">
        <f>COUNTIF(Sales_Raw_Opportunities!F:F,G10)</f>
        <v>0</v>
      </c>
      <c r="I10" s="2" t="s">
        <v>325</v>
      </c>
    </row>
    <row r="11" spans="1:9" ht="14.4" x14ac:dyDescent="0.3">
      <c r="A11" s="4" t="s">
        <v>329</v>
      </c>
      <c r="B11" s="14">
        <f t="shared" ref="B11:C14" si="0">B5</f>
        <v>9</v>
      </c>
      <c r="C11" s="14">
        <f t="shared" si="0"/>
        <v>3700000</v>
      </c>
      <c r="D11" s="15">
        <v>1</v>
      </c>
      <c r="E11" s="12" t="s">
        <v>330</v>
      </c>
      <c r="G11" s="26">
        <v>0.8</v>
      </c>
      <c r="H11" s="21">
        <f>COUNTIF(Sales_Raw_Opportunities!F:F,G11)</f>
        <v>1</v>
      </c>
      <c r="I11" s="2" t="s">
        <v>325</v>
      </c>
    </row>
    <row r="12" spans="1:9" ht="14.4" x14ac:dyDescent="0.3">
      <c r="A12" s="4" t="s">
        <v>331</v>
      </c>
      <c r="B12" s="14">
        <f t="shared" si="0"/>
        <v>9</v>
      </c>
      <c r="C12" s="14">
        <f t="shared" si="0"/>
        <v>2095000</v>
      </c>
      <c r="D12" s="15">
        <f>IFERROR(B12/B11,0)</f>
        <v>1</v>
      </c>
      <c r="E12" s="12" t="s">
        <v>330</v>
      </c>
      <c r="G12" s="26">
        <v>0.85</v>
      </c>
      <c r="H12" s="21">
        <f>COUNTIF(Sales_Raw_Opportunities!F:F,G12)</f>
        <v>1</v>
      </c>
      <c r="I12" s="2" t="s">
        <v>325</v>
      </c>
    </row>
    <row r="13" spans="1:9" ht="14.4" x14ac:dyDescent="0.3">
      <c r="A13" s="4" t="s">
        <v>332</v>
      </c>
      <c r="B13" s="14">
        <f t="shared" si="0"/>
        <v>17</v>
      </c>
      <c r="C13" s="14">
        <f t="shared" si="0"/>
        <v>3275000</v>
      </c>
      <c r="D13" s="12"/>
      <c r="E13" s="12" t="s">
        <v>333</v>
      </c>
      <c r="G13" s="26">
        <v>0.95</v>
      </c>
      <c r="H13" s="21">
        <f>COUNTIF(Sales_Raw_Opportunities!F:F,G13)</f>
        <v>1</v>
      </c>
      <c r="I13" s="2" t="s">
        <v>325</v>
      </c>
    </row>
    <row r="14" spans="1:9" ht="14.4" x14ac:dyDescent="0.3">
      <c r="A14" s="4" t="s">
        <v>334</v>
      </c>
      <c r="B14" s="14">
        <f t="shared" si="0"/>
        <v>2</v>
      </c>
      <c r="C14" s="14">
        <f t="shared" si="0"/>
        <v>50000</v>
      </c>
      <c r="D14" s="15">
        <f>IFERROR(B14/B13,0)</f>
        <v>0.11764705882352941</v>
      </c>
      <c r="E14" s="12" t="s">
        <v>330</v>
      </c>
      <c r="G14" s="26">
        <v>1</v>
      </c>
      <c r="H14" s="21">
        <f>COUNTIF(Sales_Raw_Opportunities!F:F,G14)</f>
        <v>3</v>
      </c>
      <c r="I14" s="2" t="s">
        <v>325</v>
      </c>
    </row>
    <row r="15" spans="1:9" ht="14.4" x14ac:dyDescent="0.3">
      <c r="A15" s="40" t="s">
        <v>335</v>
      </c>
      <c r="B15" s="38"/>
      <c r="C15" s="38"/>
    </row>
    <row r="16" spans="1:9" ht="14.4" x14ac:dyDescent="0.3">
      <c r="A16" s="40" t="s">
        <v>336</v>
      </c>
      <c r="B16" s="38"/>
      <c r="G16" s="18" t="s">
        <v>337</v>
      </c>
      <c r="H16" s="18" t="s">
        <v>218</v>
      </c>
      <c r="I16" s="18" t="s">
        <v>338</v>
      </c>
    </row>
    <row r="17" spans="1:9" ht="14.4" x14ac:dyDescent="0.3">
      <c r="A17" s="3" t="s">
        <v>102</v>
      </c>
      <c r="B17" s="3" t="s">
        <v>339</v>
      </c>
      <c r="G17" s="1">
        <v>1</v>
      </c>
      <c r="H17" s="27" t="s">
        <v>264</v>
      </c>
      <c r="I17" s="21">
        <f>SUMIF(Sales_Raw_Opportunities!A:A,H17,Sales_Raw_Opportunities!E:E)</f>
        <v>1590000</v>
      </c>
    </row>
    <row r="18" spans="1:9" ht="14.4" x14ac:dyDescent="0.3">
      <c r="A18" s="4"/>
      <c r="B18" s="5"/>
      <c r="G18" s="1"/>
      <c r="H18" s="27"/>
      <c r="I18" s="21"/>
    </row>
    <row r="19" spans="1:9" ht="14.4" x14ac:dyDescent="0.3">
      <c r="A19" s="4"/>
      <c r="B19" s="5"/>
      <c r="G19" s="1"/>
      <c r="H19" s="27"/>
      <c r="I19" s="21"/>
    </row>
    <row r="20" spans="1:9" ht="14.4" x14ac:dyDescent="0.3">
      <c r="A20" s="4"/>
      <c r="B20" s="5"/>
      <c r="G20" s="1"/>
      <c r="H20" s="27"/>
      <c r="I20" s="21"/>
    </row>
    <row r="21" spans="1:9" ht="15.75" customHeight="1" x14ac:dyDescent="0.3">
      <c r="A21" s="4"/>
      <c r="B21" s="5"/>
      <c r="G21" s="1"/>
      <c r="H21" s="27"/>
      <c r="I21" s="21"/>
    </row>
    <row r="22" spans="1:9" ht="15.75" customHeight="1" x14ac:dyDescent="0.3">
      <c r="G22" s="1"/>
      <c r="H22" s="27"/>
      <c r="I22" s="21"/>
    </row>
    <row r="23" spans="1:9" ht="15.75" customHeight="1" x14ac:dyDescent="0.3">
      <c r="G23" s="1"/>
      <c r="H23" s="27"/>
      <c r="I23" s="21"/>
    </row>
    <row r="24" spans="1:9" ht="15.75" customHeight="1" x14ac:dyDescent="0.3">
      <c r="A24" s="1"/>
      <c r="G24" s="1"/>
      <c r="H24" s="27"/>
      <c r="I24" s="21"/>
    </row>
    <row r="25" spans="1:9" ht="15.75" customHeight="1" x14ac:dyDescent="0.3">
      <c r="A25" s="2" t="s">
        <v>340</v>
      </c>
    </row>
    <row r="26" spans="1:9" ht="15.75" customHeight="1" x14ac:dyDescent="0.3">
      <c r="A26" s="2" t="s">
        <v>341</v>
      </c>
    </row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6">
    <mergeCell ref="A16:B16"/>
    <mergeCell ref="A3:G3"/>
    <mergeCell ref="A2:H2"/>
    <mergeCell ref="A1:H1"/>
    <mergeCell ref="A15:C15"/>
    <mergeCell ref="A9:E9"/>
  </mergeCells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2" ht="14.4" x14ac:dyDescent="0.3">
      <c r="A1" s="2" t="s">
        <v>342</v>
      </c>
      <c r="B1" s="2" t="s">
        <v>303</v>
      </c>
    </row>
    <row r="2" spans="1:2" ht="14.4" x14ac:dyDescent="0.3">
      <c r="A2" s="2" t="s">
        <v>343</v>
      </c>
      <c r="B2" s="2" t="s">
        <v>306</v>
      </c>
    </row>
    <row r="3" spans="1:2" ht="14.4" x14ac:dyDescent="0.3">
      <c r="A3" s="2" t="s">
        <v>250</v>
      </c>
      <c r="B3" s="2" t="s">
        <v>312</v>
      </c>
    </row>
    <row r="4" spans="1:2" ht="14.4" x14ac:dyDescent="0.3">
      <c r="A4" s="2" t="s">
        <v>269</v>
      </c>
    </row>
    <row r="5" spans="1:2" ht="14.4" x14ac:dyDescent="0.3">
      <c r="A5" s="2" t="s">
        <v>296</v>
      </c>
    </row>
    <row r="6" spans="1:2" ht="14.4" x14ac:dyDescent="0.3">
      <c r="A6" s="2" t="s">
        <v>344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22"/>
  <sheetViews>
    <sheetView workbookViewId="0">
      <pane ySplit="4" topLeftCell="A11" activePane="bottomLeft" state="frozen"/>
      <selection pane="bottomLeft" activeCell="C21" sqref="C21"/>
    </sheetView>
  </sheetViews>
  <sheetFormatPr defaultRowHeight="14.4" x14ac:dyDescent="0.3"/>
  <cols>
    <col min="1" max="1" width="18" customWidth="1"/>
    <col min="2" max="2" width="14" customWidth="1"/>
    <col min="3" max="3" width="24" customWidth="1"/>
    <col min="4" max="4" width="34" customWidth="1"/>
    <col min="5" max="5" width="14" customWidth="1"/>
    <col min="6" max="6" width="18" customWidth="1"/>
    <col min="7" max="7" width="52" customWidth="1"/>
  </cols>
  <sheetData>
    <row r="1" spans="1:7" ht="18" x14ac:dyDescent="0.35">
      <c r="A1" s="28" t="s">
        <v>345</v>
      </c>
    </row>
    <row r="2" spans="1:7" ht="100.8" x14ac:dyDescent="0.3">
      <c r="A2" s="29" t="s">
        <v>346</v>
      </c>
    </row>
    <row r="4" spans="1:7" x14ac:dyDescent="0.3">
      <c r="A4" s="30" t="s">
        <v>254</v>
      </c>
      <c r="B4" s="30" t="s">
        <v>347</v>
      </c>
      <c r="C4" s="30" t="s">
        <v>218</v>
      </c>
      <c r="D4" s="30" t="s">
        <v>248</v>
      </c>
      <c r="E4" s="30" t="s">
        <v>251</v>
      </c>
      <c r="F4" s="30" t="s">
        <v>348</v>
      </c>
      <c r="G4" s="30" t="s">
        <v>38</v>
      </c>
    </row>
    <row r="5" spans="1:7" x14ac:dyDescent="0.3">
      <c r="A5" s="33" t="s">
        <v>342</v>
      </c>
      <c r="B5" t="s">
        <v>349</v>
      </c>
      <c r="C5" s="31" t="s">
        <v>224</v>
      </c>
      <c r="E5" s="32">
        <v>500000</v>
      </c>
      <c r="G5" t="s">
        <v>350</v>
      </c>
    </row>
    <row r="6" spans="1:7" x14ac:dyDescent="0.3">
      <c r="A6" s="33" t="s">
        <v>342</v>
      </c>
      <c r="B6" t="s">
        <v>349</v>
      </c>
      <c r="C6" s="31" t="s">
        <v>356</v>
      </c>
      <c r="E6" s="32">
        <v>500000</v>
      </c>
    </row>
    <row r="7" spans="1:7" x14ac:dyDescent="0.3">
      <c r="A7" t="s">
        <v>342</v>
      </c>
      <c r="B7" t="s">
        <v>351</v>
      </c>
      <c r="C7" s="34" t="s">
        <v>364</v>
      </c>
      <c r="E7" s="32">
        <v>500000</v>
      </c>
      <c r="G7" t="s">
        <v>352</v>
      </c>
    </row>
    <row r="8" spans="1:7" x14ac:dyDescent="0.3">
      <c r="A8" t="s">
        <v>342</v>
      </c>
      <c r="B8" t="s">
        <v>351</v>
      </c>
      <c r="C8" s="34" t="s">
        <v>357</v>
      </c>
      <c r="E8" s="32">
        <v>500000</v>
      </c>
    </row>
    <row r="9" spans="1:7" x14ac:dyDescent="0.3">
      <c r="A9" t="s">
        <v>342</v>
      </c>
      <c r="B9" t="s">
        <v>351</v>
      </c>
      <c r="C9" s="34" t="s">
        <v>358</v>
      </c>
      <c r="E9" s="32">
        <v>700000</v>
      </c>
    </row>
    <row r="10" spans="1:7" x14ac:dyDescent="0.3">
      <c r="A10" t="s">
        <v>342</v>
      </c>
      <c r="B10" t="s">
        <v>351</v>
      </c>
      <c r="C10" s="34" t="s">
        <v>359</v>
      </c>
      <c r="E10" s="32">
        <v>200000</v>
      </c>
    </row>
    <row r="11" spans="1:7" x14ac:dyDescent="0.3">
      <c r="A11" t="s">
        <v>342</v>
      </c>
      <c r="B11" t="s">
        <v>351</v>
      </c>
      <c r="C11" s="34" t="s">
        <v>360</v>
      </c>
      <c r="E11" s="32">
        <v>100000</v>
      </c>
    </row>
    <row r="12" spans="1:7" x14ac:dyDescent="0.3">
      <c r="A12" t="s">
        <v>342</v>
      </c>
      <c r="B12" t="s">
        <v>351</v>
      </c>
      <c r="C12" s="34" t="s">
        <v>361</v>
      </c>
      <c r="E12" s="32">
        <v>100000</v>
      </c>
    </row>
    <row r="13" spans="1:7" x14ac:dyDescent="0.3">
      <c r="A13" t="s">
        <v>342</v>
      </c>
      <c r="B13" t="s">
        <v>351</v>
      </c>
      <c r="C13" s="34" t="s">
        <v>362</v>
      </c>
      <c r="E13" s="32">
        <v>100000</v>
      </c>
    </row>
    <row r="14" spans="1:7" x14ac:dyDescent="0.3">
      <c r="A14" t="s">
        <v>342</v>
      </c>
      <c r="B14" t="s">
        <v>351</v>
      </c>
      <c r="C14" s="34" t="s">
        <v>363</v>
      </c>
      <c r="E14" s="32">
        <v>500000</v>
      </c>
    </row>
    <row r="15" spans="1:7" x14ac:dyDescent="0.3">
      <c r="A15" t="s">
        <v>343</v>
      </c>
      <c r="B15" t="s">
        <v>351</v>
      </c>
      <c r="C15" s="35" t="s">
        <v>224</v>
      </c>
      <c r="E15" s="32">
        <v>500000</v>
      </c>
      <c r="G15" t="s">
        <v>353</v>
      </c>
    </row>
    <row r="16" spans="1:7" x14ac:dyDescent="0.3">
      <c r="A16" t="s">
        <v>343</v>
      </c>
      <c r="B16" t="s">
        <v>351</v>
      </c>
      <c r="C16" s="36" t="s">
        <v>289</v>
      </c>
      <c r="E16" s="32">
        <v>400000</v>
      </c>
      <c r="G16" t="s">
        <v>353</v>
      </c>
    </row>
    <row r="17" spans="1:7" x14ac:dyDescent="0.3">
      <c r="A17" t="s">
        <v>343</v>
      </c>
      <c r="B17" t="s">
        <v>351</v>
      </c>
      <c r="C17" s="36" t="s">
        <v>364</v>
      </c>
      <c r="E17" s="32">
        <v>500000</v>
      </c>
      <c r="G17" t="s">
        <v>353</v>
      </c>
    </row>
    <row r="18" spans="1:7" x14ac:dyDescent="0.3">
      <c r="A18" t="s">
        <v>343</v>
      </c>
      <c r="B18" t="s">
        <v>351</v>
      </c>
      <c r="C18" s="36" t="s">
        <v>358</v>
      </c>
      <c r="E18" s="32">
        <v>700000</v>
      </c>
      <c r="G18" t="s">
        <v>353</v>
      </c>
    </row>
    <row r="19" spans="1:7" x14ac:dyDescent="0.3">
      <c r="A19" t="s">
        <v>250</v>
      </c>
      <c r="B19" t="s">
        <v>351</v>
      </c>
      <c r="C19" t="s">
        <v>365</v>
      </c>
      <c r="G19" t="s">
        <v>354</v>
      </c>
    </row>
    <row r="20" spans="1:7" x14ac:dyDescent="0.3">
      <c r="A20" t="s">
        <v>250</v>
      </c>
      <c r="B20" t="s">
        <v>351</v>
      </c>
      <c r="C20" t="s">
        <v>224</v>
      </c>
    </row>
    <row r="21" spans="1:7" x14ac:dyDescent="0.3">
      <c r="A21" t="s">
        <v>250</v>
      </c>
      <c r="B21" t="s">
        <v>349</v>
      </c>
      <c r="C21" s="31" t="s">
        <v>221</v>
      </c>
    </row>
    <row r="22" spans="1:7" x14ac:dyDescent="0.3">
      <c r="A22" t="s">
        <v>269</v>
      </c>
      <c r="B22" t="s">
        <v>351</v>
      </c>
      <c r="G22" t="s">
        <v>355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README</vt:lpstr>
      <vt:lpstr>Dashboard_Map</vt:lpstr>
      <vt:lpstr>Financial_Overview</vt:lpstr>
      <vt:lpstr>Cash_Flow</vt:lpstr>
      <vt:lpstr>Strategy_Operations</vt:lpstr>
      <vt:lpstr>Pipeline_Revenue</vt:lpstr>
      <vt:lpstr>Sales_Raw_Opportunities</vt:lpstr>
      <vt:lpstr>Sales_Raw_Operations</vt:lpstr>
      <vt:lpstr>Sales_Performance</vt:lpstr>
      <vt:lpstr>Lists</vt:lpstr>
      <vt:lpstr>Sales_Stage_Details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Abdelrhman Gamal Kamel Mohamed</cp:lastModifiedBy>
  <dcterms:created xsi:type="dcterms:W3CDTF">2026-04-13T06:54:18Z</dcterms:created>
  <dcterms:modified xsi:type="dcterms:W3CDTF">2026-04-13T08:18:24Z</dcterms:modified>
</cp:coreProperties>
</file>