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11B53D4E-CFA7-4A7F-920E-0B67A45C7121}" xr6:coauthVersionLast="47" xr6:coauthVersionMax="47" xr10:uidLastSave="{00000000-0000-0000-0000-000000000000}"/>
  <bookViews>
    <workbookView xWindow="-108" yWindow="-108" windowWidth="23256" windowHeight="12456" tabRatio="1000" firstSheet="1" activeTab="6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9" l="1"/>
  <c r="B13" i="9" s="1"/>
  <c r="C7" i="9"/>
  <c r="C13" i="9" s="1"/>
  <c r="C6" i="9"/>
  <c r="C12" i="9" s="1"/>
  <c r="B6" i="9"/>
  <c r="B12" i="9"/>
  <c r="B5" i="9"/>
  <c r="C5" i="9"/>
  <c r="C11" i="9" s="1"/>
  <c r="I17" i="9"/>
  <c r="H13" i="9"/>
  <c r="D8" i="9"/>
  <c r="C8" i="9"/>
  <c r="C14" i="9" s="1"/>
  <c r="B8" i="9"/>
  <c r="B14" i="9" s="1"/>
  <c r="G11" i="7"/>
  <c r="G10" i="7"/>
  <c r="G9" i="7"/>
  <c r="G8" i="7"/>
  <c r="G7" i="7"/>
  <c r="G6" i="7"/>
  <c r="H9" i="9" s="1"/>
  <c r="G5" i="7"/>
  <c r="G4" i="7"/>
  <c r="H6" i="9" s="1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H7" i="9" l="1"/>
  <c r="D14" i="9"/>
  <c r="H10" i="9"/>
  <c r="H11" i="9"/>
  <c r="H5" i="9"/>
  <c r="D12" i="9"/>
  <c r="H14" i="9"/>
  <c r="H8" i="9"/>
  <c r="H12" i="9"/>
  <c r="F29" i="6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<sst xmlns="http://schemas.openxmlformats.org/spreadsheetml/2006/main" count="550" uniqueCount="339">
  <si>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</si>
  <si>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</si>
  <si>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</si>
  <si>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</si>
  <si>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</si>
  <si>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</si>
  <si>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</si>
  <si>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</si>
  <si>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</si>
  <si>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</si>
  <si>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</si>
  <si>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</si>
  <si>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</si>
  <si>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</si>
  <si>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</si>
  <si>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</si>
  <si>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</si>
  <si>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</si>
  <si>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</si>
  <si>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</si>
  <si>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</si>
  <si>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</si>
  <si>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</si>
  <si>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</si>
  <si>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</si>
  <si>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</si>
  <si>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</si>
  <si>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</si>
  <si>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</si>
  <si>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</si>
  <si>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</si>
  <si>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</si>
  <si>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</si>
  <si>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</si>
  <si>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</si>
  <si>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</si>
  <si>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</si>
  <si>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</si>
  <si>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</si>
  <si>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</si>
  <si>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</si>
  <si>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</si>
  <si>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</si>
  <si>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</si>
  <si>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</si>
  <si>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</si>
  <si>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</si>
  <si>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</si>
  <si>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</si>
  <si>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</si>
  <si>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</si>
  <si>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</si>
  <si>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</si>
  <si>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</si>
  <si>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</si>
  <si>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</si>
  <si>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</si>
  <si>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</si>
  <si>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</si>
  <si>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</si>
  <si>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</si>
  <si>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</si>
  <si>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</si>
  <si>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</si>
  <si>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</si>
  <si>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</si>
  <si>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</si>
  <si>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</si>
  <si>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</si>
  <si>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</si>
  <si>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</si>
  <si>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</si>
  <si>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</si>
  <si>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</si>
  <si>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</si>
  <si>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</si>
  <si>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</si>
  <si>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</si>
  <si>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</si>
  <si>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</si>
  <si>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</si>
  <si>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</si>
  <si>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</si>
  <si>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</si>
  <si>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</si>
  <si>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</si>
  <si>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</si>
  <si>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</si>
  <si>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</si>
  <si>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</si>
  <si>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</si>
  <si>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</si>
  <si>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</si>
  <si>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</si>
  <si>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</si>
  <si>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</si>
  <si>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</si>
  <si>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</si>
  <si>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</si>
  <si>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</si>
  <si>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</si>
  <si>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</si>
  <si>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</si>
  <si>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</si>
  <si>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</si>
  <si>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</si>
  <si>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</si>
  <si>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</si>
  <si>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</si>
  <si>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</si>
  <si>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</si>
  <si>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</si>
  <si>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</si>
  <si>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</si>
  <si>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</si>
  <si>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</si>
  <si>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</si>
  <si>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</si>
  <si>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</si>
  <si>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</si>
  <si>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</si>
  <si>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</si>
  <si>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</si>
  <si>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</si>
  <si>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</si>
  <si>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</si>
  <si>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</si>
  <si>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</si>
  <si>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</si>
  <si>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</si>
  <si>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</si>
  <si>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</si>
  <si>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</si>
  <si>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</si>
  <si>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</si>
  <si>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</si>
  <si>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</si>
  <si>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</si>
  <si>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</si>
  <si>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</si>
  <si>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</si>
  <si>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</si>
  <si>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</si>
  <si>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</si>
  <si>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</si>
  <si>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</si>
  <si>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</si>
  <si>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</si>
  <si>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</si>
  <si>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</si>
  <si>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</si>
  <si>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</si>
  <si>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</si>
  <si>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</si>
  <si>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</si>
  <si>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</si>
  <si>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</si>
  <si>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</si>
  <si>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</si>
  <si>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</si>
  <si>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</si>
  <si>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</si>
  <si>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</si>
  <si>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</si>
  <si>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</si>
  <si>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</si>
  <si>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</si>
  <si>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</si>
  <si>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</si>
  <si>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</si>
  <si>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</si>
  <si>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</si>
  <si>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</si>
  <si>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</si>
  <si>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</si>
  <si>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</si>
  <si>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</si>
  <si>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</si>
  <si>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</si>
  <si>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</si>
  <si>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</si>
  <si>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</si>
  <si>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</si>
  <si>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</si>
  <si>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</si>
  <si>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</si>
  <si>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</si>
  <si>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</si>
  <si>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</si>
  <si>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</si>
  <si>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</si>
  <si>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</si>
  <si>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</si>
  <si>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</si>
  <si>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</si>
  <si>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</si>
  <si>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</si>
  <si>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</si>
  <si>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</si>
  <si>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</si>
  <si>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</si>
  <si>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</si>
  <si>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</si>
  <si>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</si>
  <si>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</si>
  <si>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</si>
  <si>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</si>
  <si>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</si>
  <si>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</si>
  <si>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</si>
  <si>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</si>
  <si>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</si>
  <si>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</si>
  <si>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</si>
  <si>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</si>
  <si>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</si>
  <si>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</si>
  <si>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</si>
  <si>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</si>
  <si>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</si>
  <si>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</si>
  <si>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</si>
  <si>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</si>
  <si>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</si>
  <si>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</si>
  <si>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</si>
  <si>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</si>
  <si>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</si>
  <si>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</si>
  <si>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</si>
  <si>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</si>
  <si>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</si>
  <si>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</si>
  <si>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</si>
  <si>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</si>
  <si>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</si>
  <si>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</si>
  <si>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</si>
  <si>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</si>
  <si>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</si>
  <si>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</si>
  <si>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</si>
  <si>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</si>
  <si>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</si>
  <si>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</si>
  <si>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</si>
  <si>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</si>
  <si>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</si>
  <si>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</si>
  <si>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</si>
  <si>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</si>
  <si>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</si>
  <si>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</si>
  <si>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</si>
  <si>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</si>
  <si>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</si>
  <si>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</si>
  <si>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KSA Sustainability Champions</t>
  </si>
  <si>
    <t>Dec 2025</t>
  </si>
  <si>
    <t>Tadawul Group</t>
  </si>
  <si>
    <t>Won</t>
  </si>
  <si>
    <t>GOSI</t>
  </si>
  <si>
    <t>Enablement Program</t>
  </si>
  <si>
    <t>Feb 2026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</si>
  <si>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</si>
  <si>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</si>
  <si>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</si>
  <si>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</si>
  <si>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</si>
  <si>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</si>
  <si>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</si>
  <si>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</si>
  <si>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</si>
  <si>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Tadawul ESG Course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</si>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</sst>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5">
    <xf numFmtId="0" fontId="0" fillId="0" borderId="0" xfId="0"/>
    <xf numFmtId="0" fontId="6" fillId="0" borderId="0" xfId="0" applyFont="1"/>
    <xf numFmtId="0" fontId="7" fillId="0" borderId="0" xfId="0" applyFont="1"/>
    <xf numFmtId="0" fontId="9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164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9" fontId="11" fillId="0" borderId="1" xfId="0" applyNumberFormat="1" applyFont="1" applyBorder="1" applyAlignment="1">
      <alignment horizontal="right" vertical="center"/>
    </xf>
    <xf numFmtId="164" fontId="13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/>
    </xf>
    <xf numFmtId="164" fontId="13" fillId="0" borderId="0" xfId="0" applyNumberFormat="1" applyFont="1"/>
    <xf numFmtId="165" fontId="11" fillId="0" borderId="0" xfId="0" applyNumberFormat="1" applyFont="1"/>
    <xf numFmtId="164" fontId="11" fillId="0" borderId="0" xfId="0" applyNumberFormat="1" applyFont="1"/>
    <xf numFmtId="164" fontId="12" fillId="0" borderId="0" xfId="0" applyNumberFormat="1" applyFont="1"/>
    <xf numFmtId="165" fontId="12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165" fontId="6" fillId="0" borderId="0" xfId="0" applyNumberFormat="1" applyFont="1"/>
    <xf numFmtId="0" fontId="12" fillId="0" borderId="0" xfId="0" applyFont="1"/>
    <xf numFmtId="0" fontId="15" fillId="0" borderId="0" xfId="0" applyFont="1"/>
    <xf numFmtId="0" fontId="4" fillId="0" borderId="0" xfId="0" applyFont="1" applyAlignment="1">
      <alignment wrapText="1"/>
    </xf>
    <xf numFmtId="0" fontId="14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6" fillId="0" borderId="0" xfId="0" applyFont="1"/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5" fillId="3" borderId="2" xfId="0" applyFont="1" applyFill="1" applyBorder="1" applyAlignment="1">
      <alignment horizontal="left" vertical="center"/>
    </xf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166" fontId="0" fillId="0" borderId="2" xfId="1" applyNumberFormat="1" applyFont="1" applyFill="1" applyBorder="1"/>
    <xf numFmtId="0" fontId="1" fillId="0" borderId="0" xfId="0" applyFont="1"/>
    <xf numFmtId="43" fontId="12" fillId="0" borderId="1" xfId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11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0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1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0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1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1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0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1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1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1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1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1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0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1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1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89"/>
  <sheetViews>
    <sheetView showGridLines="0" tabSelected="1" workbookViewId="0">
      <pane ySplit="2" topLeftCell="A3" activePane="bottomLeft" state="frozen"/>
      <selection pane="bottomLeft" activeCell="G9" sqref="G9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0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6" si="0">IF(AND(E4&lt;&gt;0,NOT(ISBLANK(E4)),NOT(ISBLANK(F4))),E4*F4,"")</f>
        <v>28500</v>
      </c>
      <c r="H4" s="24" t="s">
        <v>249</v>
      </c>
      <c r="I4" s="12"/>
    </row>
    <row r="5" spans="1:9" ht="14.4" x14ac:dyDescent="0.3">
      <c r="A5" s="4" t="s">
        <v>223</v>
      </c>
      <c r="B5" s="5" t="s">
        <v>257</v>
      </c>
      <c r="C5" s="12" t="s">
        <v>255</v>
      </c>
      <c r="D5" s="12" t="s">
        <v>258</v>
      </c>
      <c r="E5" s="13">
        <v>500000</v>
      </c>
      <c r="F5" s="23">
        <v>0.85</v>
      </c>
      <c r="G5" s="14">
        <f t="shared" si="0"/>
        <v>425000</v>
      </c>
      <c r="H5" s="24" t="s">
        <v>249</v>
      </c>
      <c r="I5" s="12"/>
    </row>
    <row r="6" spans="1:9" ht="14.4" x14ac:dyDescent="0.3">
      <c r="A6" s="4" t="s">
        <v>261</v>
      </c>
      <c r="B6" s="5" t="s">
        <v>262</v>
      </c>
      <c r="C6" s="12" t="s">
        <v>255</v>
      </c>
      <c r="D6" s="12" t="s">
        <v>263</v>
      </c>
      <c r="E6" s="13">
        <v>500000</v>
      </c>
      <c r="F6" s="23">
        <v>0.6</v>
      </c>
      <c r="G6" s="14">
        <f t="shared" si="0"/>
        <v>300000</v>
      </c>
      <c r="H6" s="24" t="s">
        <v>249</v>
      </c>
      <c r="I6" s="12"/>
    </row>
    <row r="7" spans="1:9" ht="14.4" x14ac:dyDescent="0.3">
      <c r="A7" s="4" t="s">
        <v>264</v>
      </c>
      <c r="B7" s="5" t="s">
        <v>265</v>
      </c>
      <c r="C7" s="12" t="s">
        <v>255</v>
      </c>
      <c r="D7" s="12" t="s">
        <v>266</v>
      </c>
      <c r="E7" s="13">
        <v>100000</v>
      </c>
      <c r="F7" s="23">
        <v>0.5</v>
      </c>
      <c r="G7" s="14">
        <f t="shared" ref="G7:G11" si="1">IF(AND(E7&lt;&gt;0,NOT(ISBLANK(E7)),NOT(ISBLANK(F7))),E7*F7,"")</f>
        <v>50000</v>
      </c>
      <c r="H7" s="24" t="s">
        <v>249</v>
      </c>
      <c r="I7" s="12"/>
    </row>
    <row r="8" spans="1:9" ht="14.4" x14ac:dyDescent="0.3">
      <c r="A8" s="4" t="s">
        <v>221</v>
      </c>
      <c r="B8" s="5" t="s">
        <v>267</v>
      </c>
      <c r="C8" s="12" t="s">
        <v>268</v>
      </c>
      <c r="D8" s="12" t="s">
        <v>263</v>
      </c>
      <c r="E8" s="13">
        <v>500000</v>
      </c>
      <c r="F8" s="23">
        <v>0.5</v>
      </c>
      <c r="G8" s="14">
        <f t="shared" si="1"/>
        <v>250000</v>
      </c>
      <c r="H8" s="24" t="s">
        <v>249</v>
      </c>
      <c r="I8" s="12"/>
    </row>
    <row r="9" spans="1:9" ht="14.4" x14ac:dyDescent="0.3">
      <c r="A9" s="4" t="s">
        <v>259</v>
      </c>
      <c r="B9" s="5" t="s">
        <v>269</v>
      </c>
      <c r="C9" s="12" t="s">
        <v>255</v>
      </c>
      <c r="D9" s="12" t="s">
        <v>256</v>
      </c>
      <c r="E9" s="13">
        <v>90000</v>
      </c>
      <c r="F9" s="23">
        <v>0.5</v>
      </c>
      <c r="G9" s="14">
        <f t="shared" si="1"/>
        <v>45000</v>
      </c>
      <c r="H9" s="24" t="s">
        <v>249</v>
      </c>
      <c r="I9" s="12"/>
    </row>
    <row r="10" spans="1:9" ht="14.4" x14ac:dyDescent="0.3">
      <c r="A10" s="4" t="s">
        <v>270</v>
      </c>
      <c r="B10" s="5" t="s">
        <v>271</v>
      </c>
      <c r="C10" s="12" t="s">
        <v>255</v>
      </c>
      <c r="D10" s="12" t="s">
        <v>266</v>
      </c>
      <c r="E10" s="13">
        <v>100000</v>
      </c>
      <c r="F10" s="23">
        <v>0.5</v>
      </c>
      <c r="G10" s="14">
        <f t="shared" si="1"/>
        <v>50000</v>
      </c>
      <c r="H10" s="24" t="s">
        <v>249</v>
      </c>
      <c r="I10" s="12"/>
    </row>
    <row r="11" spans="1:9" ht="15.75" customHeight="1" x14ac:dyDescent="0.3">
      <c r="A11" s="4" t="s">
        <v>237</v>
      </c>
      <c r="B11" s="5" t="s">
        <v>273</v>
      </c>
      <c r="C11" s="12" t="s">
        <v>255</v>
      </c>
      <c r="D11" s="12" t="s">
        <v>263</v>
      </c>
      <c r="E11" s="13">
        <v>30000</v>
      </c>
      <c r="F11" s="23">
        <v>1</v>
      </c>
      <c r="G11" s="14">
        <f t="shared" si="1"/>
        <v>30000</v>
      </c>
      <c r="H11" s="24" t="s">
        <v>260</v>
      </c>
      <c r="I11" s="12"/>
    </row>
    <row r="12" spans="1:9" ht="15.75" customHeight="1" x14ac:dyDescent="0.3"/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0" t="s">
        <v>275</v>
      </c>
      <c r="B1" s="39"/>
      <c r="C1" s="39"/>
      <c r="D1" s="39"/>
      <c r="E1" s="39"/>
      <c r="F1" s="39"/>
    </row>
    <row r="2" spans="1:6" ht="14.4" x14ac:dyDescent="0.3">
      <c r="A2" s="38" t="s">
        <v>276</v>
      </c>
      <c r="B2" s="39"/>
      <c r="C2" s="39"/>
      <c r="D2" s="39"/>
      <c r="E2" s="39"/>
      <c r="F2" s="39"/>
    </row>
    <row r="3" spans="1:6" ht="14.4" x14ac:dyDescent="0.3">
      <c r="A3" s="3" t="s">
        <v>277</v>
      </c>
      <c r="B3" s="3" t="s">
        <v>278</v>
      </c>
      <c r="C3" s="3" t="s">
        <v>279</v>
      </c>
    </row>
    <row r="4" spans="1:6" ht="14.4" x14ac:dyDescent="0.3">
      <c r="A4" s="4" t="s">
        <v>280</v>
      </c>
      <c r="B4" s="24" t="s">
        <v>281</v>
      </c>
      <c r="C4" s="23">
        <v>1</v>
      </c>
    </row>
    <row r="5" spans="1:6" ht="14.4" x14ac:dyDescent="0.3">
      <c r="A5" s="4" t="s">
        <v>282</v>
      </c>
      <c r="B5" s="24" t="s">
        <v>281</v>
      </c>
      <c r="C5" s="23">
        <v>1</v>
      </c>
    </row>
    <row r="6" spans="1:6" ht="14.4" x14ac:dyDescent="0.3">
      <c r="A6" s="4" t="s">
        <v>283</v>
      </c>
      <c r="B6" s="24" t="s">
        <v>284</v>
      </c>
      <c r="C6" s="23">
        <v>0.5</v>
      </c>
    </row>
    <row r="7" spans="1:6" ht="14.4" x14ac:dyDescent="0.3">
      <c r="A7" s="4" t="s">
        <v>285</v>
      </c>
      <c r="B7" s="24" t="s">
        <v>284</v>
      </c>
      <c r="C7" s="23">
        <v>0.5</v>
      </c>
    </row>
    <row r="8" spans="1:6" ht="14.4" x14ac:dyDescent="0.3">
      <c r="A8" s="4" t="s">
        <v>286</v>
      </c>
      <c r="B8" s="24" t="s">
        <v>284</v>
      </c>
      <c r="C8" s="23">
        <v>0.5</v>
      </c>
    </row>
    <row r="9" spans="1:6" ht="14.4" x14ac:dyDescent="0.3">
      <c r="A9" s="4" t="s">
        <v>287</v>
      </c>
      <c r="B9" s="24" t="s">
        <v>284</v>
      </c>
      <c r="C9" s="23">
        <v>0.4</v>
      </c>
    </row>
    <row r="10" spans="1:6" ht="14.4" x14ac:dyDescent="0.3">
      <c r="A10" s="4" t="s">
        <v>288</v>
      </c>
      <c r="B10" s="24" t="s">
        <v>284</v>
      </c>
      <c r="C10" s="23">
        <v>0.3</v>
      </c>
    </row>
    <row r="11" spans="1:6" ht="14.4" x14ac:dyDescent="0.3">
      <c r="A11" s="4" t="s">
        <v>289</v>
      </c>
      <c r="B11" s="24" t="s">
        <v>290</v>
      </c>
      <c r="C11" s="23">
        <v>0.3</v>
      </c>
    </row>
    <row r="12" spans="1:6" ht="14.4" x14ac:dyDescent="0.3">
      <c r="A12" s="4" t="s">
        <v>291</v>
      </c>
      <c r="B12" s="24" t="s">
        <v>284</v>
      </c>
      <c r="C12" s="23">
        <v>0.3</v>
      </c>
    </row>
    <row r="13" spans="1:6" ht="14.4" x14ac:dyDescent="0.3">
      <c r="A13" s="4" t="s">
        <v>292</v>
      </c>
      <c r="B13" s="24" t="s">
        <v>290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0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293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294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295</v>
      </c>
      <c r="C4" s="3" t="s">
        <v>250</v>
      </c>
      <c r="D4" s="3" t="s">
        <v>296</v>
      </c>
      <c r="E4" s="3" t="s">
        <v>297</v>
      </c>
      <c r="F4" s="3" t="s">
        <v>298</v>
      </c>
      <c r="G4" s="3" t="s">
        <v>299</v>
      </c>
      <c r="H4" s="18" t="s">
        <v>300</v>
      </c>
      <c r="I4" s="18" t="s">
        <v>116</v>
      </c>
    </row>
    <row r="5" spans="1:9" ht="14.4" x14ac:dyDescent="0.3">
      <c r="A5" s="4" t="s">
        <v>301</v>
      </c>
      <c r="B5" s="13">
        <f>COUNTIF(Sales_Stage_Details!A:A,"Lead")</f>
        <v>10</v>
      </c>
      <c r="C5" s="13">
        <f>SUMIF(Sales_Stage_Details!A:A,"Lead",Sales_Stage_Details!E:E)</f>
        <v>3700000</v>
      </c>
      <c r="D5" s="13">
        <v>2</v>
      </c>
      <c r="E5" s="44" t="s">
        <v>302</v>
      </c>
      <c r="F5" s="13">
        <v>7</v>
      </c>
      <c r="G5" s="25">
        <v>0</v>
      </c>
      <c r="H5" s="21">
        <f>COUNTIF(Sales_Raw_Opportunities!F:F,G5)</f>
        <v>0</v>
      </c>
      <c r="I5" s="2" t="s">
        <v>303</v>
      </c>
    </row>
    <row r="6" spans="1:9" ht="14.4" x14ac:dyDescent="0.3">
      <c r="A6" s="4" t="s">
        <v>79</v>
      </c>
      <c r="B6" s="13">
        <f>COUNTIF(Sales_Stage_Details!A:A,"Active Proposal")</f>
        <v>4</v>
      </c>
      <c r="C6" s="13">
        <f>SUMIF(Sales_Stage_Details!A:A,"Active Proposal",Sales_Stage_Details!E:E)</f>
        <v>2100000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0</v>
      </c>
      <c r="I6" s="2" t="s">
        <v>303</v>
      </c>
    </row>
    <row r="7" spans="1:9" ht="14.4" x14ac:dyDescent="0.3">
      <c r="A7" s="4" t="s">
        <v>304</v>
      </c>
      <c r="B7" s="13">
        <f>COUNTIF(Sales_Stage_Details!A:A,"Submitted")</f>
        <v>4</v>
      </c>
      <c r="C7" s="13">
        <f>SUMIF(Sales_Stage_Details!A:A,"Submitted",Sales_Stage_Details!E:E)</f>
        <v>520000</v>
      </c>
      <c r="D7" s="13">
        <v>1</v>
      </c>
      <c r="E7" s="24" t="s">
        <v>338</v>
      </c>
      <c r="F7" s="13">
        <v>2</v>
      </c>
      <c r="G7" s="25">
        <v>0.4</v>
      </c>
      <c r="H7" s="21">
        <f>COUNTIF(Sales_Raw_Opportunities!F:F,G7)</f>
        <v>0</v>
      </c>
      <c r="I7" s="2" t="s">
        <v>303</v>
      </c>
    </row>
    <row r="8" spans="1:9" ht="14.4" x14ac:dyDescent="0.3">
      <c r="A8" s="4" t="s">
        <v>305</v>
      </c>
      <c r="B8" s="13">
        <f>COUNTIF(Sales_Raw_Opportunities!H:H,"Won")</f>
        <v>1</v>
      </c>
      <c r="C8" s="13">
        <f>SUMIF(Sales_Raw_Opportunities!H:H,"Won",Sales_Raw_Opportunities!E:E)</f>
        <v>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4</v>
      </c>
      <c r="I8" s="2" t="s">
        <v>303</v>
      </c>
    </row>
    <row r="9" spans="1:9" ht="14.4" x14ac:dyDescent="0.3">
      <c r="A9" s="41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1</v>
      </c>
      <c r="I9" s="2" t="s">
        <v>303</v>
      </c>
    </row>
    <row r="10" spans="1:9" ht="14.4" x14ac:dyDescent="0.3">
      <c r="A10" s="3" t="s">
        <v>253</v>
      </c>
      <c r="B10" s="3" t="s">
        <v>295</v>
      </c>
      <c r="C10" s="3" t="s">
        <v>250</v>
      </c>
      <c r="D10" s="3" t="s">
        <v>306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303</v>
      </c>
    </row>
    <row r="11" spans="1:9" ht="14.4" x14ac:dyDescent="0.3">
      <c r="A11" s="4" t="s">
        <v>307</v>
      </c>
      <c r="B11" s="14">
        <v>8</v>
      </c>
      <c r="C11" s="14">
        <f t="shared" ref="B11:C14" si="0">C5</f>
        <v>3700000</v>
      </c>
      <c r="D11" s="15">
        <v>1</v>
      </c>
      <c r="E11" s="12" t="s">
        <v>308</v>
      </c>
      <c r="G11" s="26">
        <v>0.8</v>
      </c>
      <c r="H11" s="21">
        <f>COUNTIF(Sales_Raw_Opportunities!F:F,G11)</f>
        <v>0</v>
      </c>
      <c r="I11" s="2" t="s">
        <v>303</v>
      </c>
    </row>
    <row r="12" spans="1:9" ht="14.4" x14ac:dyDescent="0.3">
      <c r="A12" s="4" t="s">
        <v>309</v>
      </c>
      <c r="B12" s="14">
        <f t="shared" si="0"/>
        <v>4</v>
      </c>
      <c r="C12" s="14">
        <f t="shared" si="0"/>
        <v>2100000</v>
      </c>
      <c r="D12" s="15">
        <f>IFERROR(B12/B11,0)</f>
        <v>0.5</v>
      </c>
      <c r="E12" s="12" t="s">
        <v>308</v>
      </c>
      <c r="G12" s="26">
        <v>0.85</v>
      </c>
      <c r="H12" s="21">
        <f>COUNTIF(Sales_Raw_Opportunities!F:F,G12)</f>
        <v>1</v>
      </c>
      <c r="I12" s="2" t="s">
        <v>303</v>
      </c>
    </row>
    <row r="13" spans="1:9" ht="14.4" x14ac:dyDescent="0.3">
      <c r="A13" s="4" t="s">
        <v>310</v>
      </c>
      <c r="B13" s="14">
        <f t="shared" si="0"/>
        <v>4</v>
      </c>
      <c r="C13" s="14">
        <f t="shared" si="0"/>
        <v>520000</v>
      </c>
      <c r="D13" s="12"/>
      <c r="E13" s="12" t="s">
        <v>311</v>
      </c>
      <c r="G13" s="26">
        <v>0.95</v>
      </c>
      <c r="H13" s="21">
        <f>COUNTIF(Sales_Raw_Opportunities!F:F,G13)</f>
        <v>1</v>
      </c>
      <c r="I13" s="2" t="s">
        <v>303</v>
      </c>
    </row>
    <row r="14" spans="1:9" ht="14.4" x14ac:dyDescent="0.3">
      <c r="A14" s="4" t="s">
        <v>312</v>
      </c>
      <c r="B14" s="14">
        <f t="shared" si="0"/>
        <v>1</v>
      </c>
      <c r="C14" s="14">
        <f t="shared" si="0"/>
        <v>30000</v>
      </c>
      <c r="D14" s="15">
        <f>IFERROR(B14/B13,0)</f>
        <v>0.25</v>
      </c>
      <c r="E14" s="12" t="s">
        <v>308</v>
      </c>
      <c r="G14" s="26">
        <v>1</v>
      </c>
      <c r="H14" s="21">
        <f>COUNTIF(Sales_Raw_Opportunities!F:F,G14)</f>
        <v>1</v>
      </c>
      <c r="I14" s="2" t="s">
        <v>303</v>
      </c>
    </row>
    <row r="15" spans="1:9" ht="14.4" x14ac:dyDescent="0.3">
      <c r="A15" s="41" t="s">
        <v>313</v>
      </c>
      <c r="B15" s="39"/>
      <c r="C15" s="39"/>
    </row>
    <row r="16" spans="1:9" ht="14.4" x14ac:dyDescent="0.3">
      <c r="A16" s="41" t="s">
        <v>314</v>
      </c>
      <c r="B16" s="39"/>
      <c r="G16" s="18" t="s">
        <v>315</v>
      </c>
      <c r="H16" s="18" t="s">
        <v>218</v>
      </c>
      <c r="I16" s="18" t="s">
        <v>316</v>
      </c>
    </row>
    <row r="17" spans="1:9" ht="14.4" x14ac:dyDescent="0.3">
      <c r="A17" s="3" t="s">
        <v>102</v>
      </c>
      <c r="B17" s="3" t="s">
        <v>317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318</v>
      </c>
    </row>
    <row r="26" spans="1:9" ht="15.75" customHeight="1" x14ac:dyDescent="0.3">
      <c r="A26" s="2" t="s">
        <v>319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320</v>
      </c>
      <c r="B1" s="2" t="s">
        <v>281</v>
      </c>
    </row>
    <row r="2" spans="1:2" ht="14.4" x14ac:dyDescent="0.3">
      <c r="A2" s="2" t="s">
        <v>321</v>
      </c>
      <c r="B2" s="2" t="s">
        <v>284</v>
      </c>
    </row>
    <row r="3" spans="1:2" ht="14.4" x14ac:dyDescent="0.3">
      <c r="A3" s="2" t="s">
        <v>249</v>
      </c>
      <c r="B3" s="2" t="s">
        <v>290</v>
      </c>
    </row>
    <row r="4" spans="1:2" ht="14.4" x14ac:dyDescent="0.3">
      <c r="A4" s="2" t="s">
        <v>260</v>
      </c>
    </row>
    <row r="5" spans="1:2" ht="14.4" x14ac:dyDescent="0.3">
      <c r="A5" s="2" t="s">
        <v>274</v>
      </c>
    </row>
    <row r="6" spans="1:2" ht="14.4" x14ac:dyDescent="0.3">
      <c r="A6" s="2" t="s">
        <v>322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4" topLeftCell="A8" activePane="bottomLeft" state="frozen"/>
      <selection pane="bottomLeft" activeCell="A15" sqref="A15:C18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323</v>
      </c>
    </row>
    <row r="2" spans="1:7" ht="100.8" x14ac:dyDescent="0.3">
      <c r="A2" s="29" t="s">
        <v>324</v>
      </c>
    </row>
    <row r="4" spans="1:7" x14ac:dyDescent="0.3">
      <c r="A4" s="30" t="s">
        <v>253</v>
      </c>
      <c r="B4" s="30" t="s">
        <v>325</v>
      </c>
      <c r="C4" s="30" t="s">
        <v>218</v>
      </c>
      <c r="D4" s="30" t="s">
        <v>247</v>
      </c>
      <c r="E4" s="30" t="s">
        <v>250</v>
      </c>
      <c r="F4" s="30" t="s">
        <v>326</v>
      </c>
      <c r="G4" s="30" t="s">
        <v>38</v>
      </c>
    </row>
    <row r="5" spans="1:7" x14ac:dyDescent="0.3">
      <c r="A5" s="33" t="s">
        <v>320</v>
      </c>
      <c r="B5" t="s">
        <v>327</v>
      </c>
      <c r="C5" s="31" t="s">
        <v>223</v>
      </c>
      <c r="E5" s="32">
        <v>500000</v>
      </c>
    </row>
    <row r="6" spans="1:7" x14ac:dyDescent="0.3">
      <c r="A6" s="33" t="s">
        <v>320</v>
      </c>
      <c r="B6" t="s">
        <v>327</v>
      </c>
      <c r="C6" s="31" t="s">
        <v>328</v>
      </c>
      <c r="E6" s="32">
        <v>500000</v>
      </c>
    </row>
    <row r="7" spans="1:7" x14ac:dyDescent="0.3">
      <c r="A7" t="s">
        <v>320</v>
      </c>
      <c r="B7" t="s">
        <v>327</v>
      </c>
      <c r="C7" s="34" t="s">
        <v>336</v>
      </c>
      <c r="E7" s="32">
        <v>500000</v>
      </c>
    </row>
    <row r="8" spans="1:7" x14ac:dyDescent="0.3">
      <c r="A8" t="s">
        <v>320</v>
      </c>
      <c r="B8" t="s">
        <v>327</v>
      </c>
      <c r="C8" s="34" t="s">
        <v>329</v>
      </c>
      <c r="E8" s="32">
        <v>500000</v>
      </c>
    </row>
    <row r="9" spans="1:7" x14ac:dyDescent="0.3">
      <c r="A9" t="s">
        <v>320</v>
      </c>
      <c r="B9" t="s">
        <v>327</v>
      </c>
      <c r="C9" s="34" t="s">
        <v>330</v>
      </c>
      <c r="E9" s="32">
        <v>700000</v>
      </c>
    </row>
    <row r="10" spans="1:7" x14ac:dyDescent="0.3">
      <c r="A10" t="s">
        <v>320</v>
      </c>
      <c r="B10" t="s">
        <v>327</v>
      </c>
      <c r="C10" s="34" t="s">
        <v>331</v>
      </c>
      <c r="E10" s="32">
        <v>200000</v>
      </c>
    </row>
    <row r="11" spans="1:7" x14ac:dyDescent="0.3">
      <c r="A11" t="s">
        <v>320</v>
      </c>
      <c r="B11" t="s">
        <v>327</v>
      </c>
      <c r="C11" s="34" t="s">
        <v>332</v>
      </c>
      <c r="E11" s="32">
        <v>100000</v>
      </c>
    </row>
    <row r="12" spans="1:7" x14ac:dyDescent="0.3">
      <c r="A12" t="s">
        <v>320</v>
      </c>
      <c r="B12" t="s">
        <v>327</v>
      </c>
      <c r="C12" s="34" t="s">
        <v>333</v>
      </c>
      <c r="E12" s="32">
        <v>100000</v>
      </c>
    </row>
    <row r="13" spans="1:7" x14ac:dyDescent="0.3">
      <c r="A13" t="s">
        <v>320</v>
      </c>
      <c r="B13" t="s">
        <v>327</v>
      </c>
      <c r="C13" s="34" t="s">
        <v>334</v>
      </c>
      <c r="E13" s="32">
        <v>100000</v>
      </c>
    </row>
    <row r="14" spans="1:7" x14ac:dyDescent="0.3">
      <c r="A14" t="s">
        <v>320</v>
      </c>
      <c r="B14" t="s">
        <v>327</v>
      </c>
      <c r="C14" s="34" t="s">
        <v>335</v>
      </c>
      <c r="E14" s="32">
        <v>500000</v>
      </c>
    </row>
    <row r="15" spans="1:7" x14ac:dyDescent="0.3">
      <c r="A15" t="s">
        <v>321</v>
      </c>
      <c r="B15" t="s">
        <v>327</v>
      </c>
      <c r="C15" s="35" t="s">
        <v>223</v>
      </c>
      <c r="E15" s="32">
        <v>500000</v>
      </c>
    </row>
    <row r="16" spans="1:7" x14ac:dyDescent="0.3">
      <c r="A16" t="s">
        <v>321</v>
      </c>
      <c r="B16" t="s">
        <v>327</v>
      </c>
      <c r="C16" s="36" t="s">
        <v>272</v>
      </c>
      <c r="E16" s="32">
        <v>400000</v>
      </c>
    </row>
    <row r="17" spans="1:5" x14ac:dyDescent="0.3">
      <c r="A17" t="s">
        <v>321</v>
      </c>
      <c r="B17" t="s">
        <v>327</v>
      </c>
      <c r="C17" s="36" t="s">
        <v>336</v>
      </c>
      <c r="E17" s="32">
        <v>500000</v>
      </c>
    </row>
    <row r="18" spans="1:5" x14ac:dyDescent="0.3">
      <c r="A18" t="s">
        <v>321</v>
      </c>
      <c r="B18" t="s">
        <v>327</v>
      </c>
      <c r="C18" s="36" t="s">
        <v>330</v>
      </c>
      <c r="E18" s="32">
        <v>700000</v>
      </c>
    </row>
    <row r="19" spans="1:5" x14ac:dyDescent="0.3">
      <c r="A19" t="s">
        <v>249</v>
      </c>
      <c r="B19" t="s">
        <v>327</v>
      </c>
      <c r="C19" t="s">
        <v>337</v>
      </c>
      <c r="E19" s="32">
        <v>20000</v>
      </c>
    </row>
    <row r="20" spans="1:5" x14ac:dyDescent="0.3">
      <c r="A20" t="s">
        <v>249</v>
      </c>
      <c r="B20" t="s">
        <v>327</v>
      </c>
      <c r="C20" t="s">
        <v>223</v>
      </c>
      <c r="E20" s="32">
        <v>500000</v>
      </c>
    </row>
    <row r="21" spans="1:5" x14ac:dyDescent="0.3">
      <c r="A21" t="s">
        <v>249</v>
      </c>
      <c r="B21" t="s">
        <v>327</v>
      </c>
      <c r="C21" s="37" t="s">
        <v>264</v>
      </c>
      <c r="E21" s="37" t="s">
        <v>338</v>
      </c>
    </row>
    <row r="22" spans="1:5" x14ac:dyDescent="0.3">
      <c r="A22" t="s">
        <v>249</v>
      </c>
      <c r="B22" t="s">
        <v>327</v>
      </c>
      <c r="C22" s="31" t="s">
        <v>221</v>
      </c>
    </row>
    <row r="23" spans="1:5" x14ac:dyDescent="0.3">
      <c r="A23" t="s">
        <v>260</v>
      </c>
      <c r="B23" t="s">
        <v>327</v>
      </c>
      <c r="C23" s="43" t="s">
        <v>337</v>
      </c>
      <c r="E23" s="4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2026-04-13T09:33:43Z</dcterms:modified>
</cp:coreProperties>
</file>