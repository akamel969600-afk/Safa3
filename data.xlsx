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bdelrhman.gamal\Downloads\safa update\12.05.2026\"/>
    </mc:Choice>
  </mc:AlternateContent>
  <xr:revisionPtr revIDLastSave="0" documentId="13_ncr:1_{CC72A9AC-3B8F-4820-9E93-E6CDDF8EDE72}" xr6:coauthVersionLast="47" xr6:coauthVersionMax="47" xr10:uidLastSave="{00000000-0000-0000-0000-000000000000}"/>
  <bookViews>
    <workbookView xWindow="28680" yWindow="-120" windowWidth="29040" windowHeight="15720" tabRatio="783" activeTab="7" xr2:uid="{00000000-000D-0000-FFFF-FFFF00000000}"/>
  </bookViews>
  <sheets>
    <sheet name="README" sheetId="1" r:id="rId1"/>
    <sheet name="Financial_Overview" sheetId="2" r:id="rId2"/>
    <sheet name="Cash_Flow" sheetId="3" r:id="rId3"/>
    <sheet name="Pipeline_Revenue" sheetId="4" r:id="rId4"/>
    <sheet name="Sales_Performance" sheetId="5" r:id="rId5"/>
    <sheet name="Sales_Raw_Opportunities" sheetId="6" r:id="rId6"/>
    <sheet name="Sales_Stage_Details" sheetId="7" r:id="rId7"/>
    <sheet name="Sales_Raw_Operations" sheetId="8" r:id="rId8"/>
    <sheet name="Strategy_Operations" sheetId="9" r:id="rId9"/>
  </sheets>
  <definedNames>
    <definedName name="_xlnm._FilterDatabase" localSheetId="5" hidden="1">Sales_Raw_Opportunities!$A$3:$J$49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8" i="4" l="1"/>
  <c r="F13" i="3"/>
  <c r="E31" i="4" l="1"/>
  <c r="E30" i="4"/>
  <c r="E29" i="4"/>
  <c r="D31" i="4"/>
  <c r="D30" i="4"/>
  <c r="D29" i="4"/>
  <c r="C30" i="4"/>
  <c r="C31" i="4"/>
  <c r="C29" i="4"/>
  <c r="E23" i="4"/>
  <c r="E13" i="4"/>
  <c r="E14" i="4"/>
  <c r="E15" i="4"/>
  <c r="E16" i="4"/>
  <c r="E17" i="4"/>
  <c r="E18" i="4"/>
  <c r="E19" i="4"/>
  <c r="E20" i="4"/>
  <c r="E21" i="4"/>
  <c r="E22" i="4"/>
  <c r="E12" i="4"/>
  <c r="C24" i="4"/>
  <c r="D24" i="4"/>
  <c r="B24" i="4"/>
  <c r="F29" i="4"/>
  <c r="F30" i="4" l="1"/>
  <c r="F31" i="4"/>
  <c r="E24" i="4"/>
  <c r="C15" i="3"/>
  <c r="D15" i="3"/>
  <c r="E15" i="3"/>
  <c r="B15" i="3"/>
  <c r="F12" i="3"/>
  <c r="F15" i="3" s="1"/>
  <c r="F14" i="3"/>
  <c r="F11" i="2"/>
  <c r="E9" i="5"/>
  <c r="E7" i="5"/>
  <c r="C5" i="5"/>
  <c r="E5" i="5" s="1"/>
  <c r="B5" i="5"/>
  <c r="D5" i="5" s="1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5" i="6"/>
  <c r="H26" i="6"/>
  <c r="H25" i="6"/>
  <c r="H24" i="6"/>
  <c r="H4" i="6"/>
  <c r="H23" i="6"/>
  <c r="H22" i="6"/>
  <c r="H11" i="6"/>
  <c r="H7" i="6"/>
  <c r="H16" i="6"/>
  <c r="H10" i="6"/>
  <c r="H21" i="6"/>
  <c r="H19" i="6"/>
  <c r="H6" i="6"/>
  <c r="H17" i="6"/>
  <c r="H12" i="6"/>
  <c r="H14" i="6"/>
  <c r="H9" i="6"/>
  <c r="H8" i="6"/>
  <c r="H13" i="6"/>
  <c r="H18" i="6"/>
  <c r="H15" i="6"/>
  <c r="H20" i="6"/>
  <c r="G9" i="5"/>
  <c r="F9" i="5"/>
  <c r="D9" i="5"/>
  <c r="C9" i="5"/>
  <c r="B9" i="5"/>
  <c r="G8" i="5"/>
  <c r="F8" i="5"/>
  <c r="D8" i="5"/>
  <c r="C8" i="5"/>
  <c r="B8" i="5"/>
  <c r="G7" i="5"/>
  <c r="F7" i="5"/>
  <c r="D7" i="5"/>
  <c r="C7" i="5"/>
  <c r="B7" i="5"/>
  <c r="G6" i="5"/>
  <c r="F6" i="5"/>
  <c r="D6" i="5"/>
  <c r="C6" i="5"/>
  <c r="B6" i="5"/>
  <c r="G5" i="5"/>
  <c r="F5" i="5"/>
  <c r="E28" i="4"/>
  <c r="D28" i="4"/>
  <c r="C28" i="4"/>
  <c r="B28" i="4"/>
  <c r="H24" i="4"/>
  <c r="B7" i="4"/>
  <c r="B6" i="4"/>
  <c r="E17" i="3"/>
  <c r="D17" i="3"/>
  <c r="C17" i="3"/>
  <c r="B17" i="3"/>
  <c r="F11" i="3"/>
  <c r="B5" i="3"/>
  <c r="F15" i="2"/>
  <c r="F17" i="3" s="1"/>
  <c r="F12" i="2"/>
  <c r="F16" i="3" s="1"/>
  <c r="B18" i="3" l="1"/>
  <c r="B19" i="3" s="1"/>
  <c r="E18" i="3"/>
  <c r="D18" i="3"/>
  <c r="C18" i="3"/>
  <c r="B5" i="4"/>
  <c r="B7" i="3"/>
  <c r="B8" i="2"/>
  <c r="B20" i="3" l="1"/>
  <c r="C19" i="3"/>
  <c r="B6" i="3"/>
  <c r="F18" i="3"/>
  <c r="C20" i="3" l="1"/>
  <c r="D19" i="3"/>
  <c r="D20" i="3" l="1"/>
  <c r="E19" i="3"/>
  <c r="E20" i="3" l="1"/>
  <c r="F20" i="3" s="1"/>
  <c r="F19" i="3"/>
  <c r="B8" i="3" s="1"/>
  <c r="F13" i="2" l="1"/>
  <c r="F14" i="2" s="1"/>
  <c r="B5" i="2"/>
  <c r="B13" i="2"/>
  <c r="B16" i="2" s="1"/>
  <c r="C13" i="2"/>
  <c r="C16" i="2" s="1"/>
  <c r="D13" i="2"/>
  <c r="D14" i="2" s="1"/>
  <c r="E13" i="2"/>
  <c r="E14" i="2" s="1"/>
  <c r="B14" i="2" l="1"/>
  <c r="C14" i="2"/>
  <c r="E16" i="2"/>
  <c r="D16" i="2"/>
  <c r="F16" i="2"/>
  <c r="B7" i="2" s="1"/>
  <c r="B6" i="2"/>
</calcChain>
</file>

<file path=xl/sharedStrings.xml><?xml version="1.0" encoding="utf-8"?>
<sst xmlns="http://schemas.openxmlformats.org/spreadsheetml/2006/main" count="449" uniqueCount="289">
  <si>
    <t>SAAFAH — Chairman's Business Review Dashboard</t>
  </si>
  <si>
    <t>Excel data source for the bilingual executive dashboard (data.xlsx)</t>
  </si>
  <si>
    <t>HOW IT WORKS</t>
  </si>
  <si>
    <t>1. Save this file as `data.xlsx` next to the dashboard's `index.html` file.</t>
  </si>
  <si>
    <t>2. Edit the BLUE cells only — they are user inputs.</t>
  </si>
  <si>
    <t>3. BLACK cells are calculated by formulas; do not overwrite them.</t>
  </si>
  <si>
    <t>4. GREEN cells pull from another sheet inside this workbook; do not overwrite them.</t>
  </si>
  <si>
    <t>5. Click the REFRESH DATA button on the dashboard (or hard-refresh the browser) after every save.</t>
  </si>
  <si>
    <t>6. Each sheet maps to a specific tab/section in the dashboard — see the sheet map below.</t>
  </si>
  <si>
    <t>COLOUR LEGEND</t>
  </si>
  <si>
    <t>Blue text</t>
  </si>
  <si>
    <t>Hardcoded user input — change these freely</t>
  </si>
  <si>
    <t>Black text</t>
  </si>
  <si>
    <t>Formula / calculation — do not edit</t>
  </si>
  <si>
    <t>Green text</t>
  </si>
  <si>
    <t>Reference to another sheet in this workbook — do not edit</t>
  </si>
  <si>
    <t>Cream fill</t>
  </si>
  <si>
    <t>Header / row label</t>
  </si>
  <si>
    <t>Sand fill</t>
  </si>
  <si>
    <t>Subtotal / total row</t>
  </si>
  <si>
    <t>SHEET MAP</t>
  </si>
  <si>
    <t>Sheet</t>
  </si>
  <si>
    <t>Dashboard Section</t>
  </si>
  <si>
    <t>Notes</t>
  </si>
  <si>
    <t>Financial_Overview</t>
  </si>
  <si>
    <t>Tab: Financial Overview</t>
  </si>
  <si>
    <t>P&amp;L summary by quarter; KPIs auto-derived.</t>
  </si>
  <si>
    <t>Cash_Flow</t>
  </si>
  <si>
    <t>Tab: Cash Flow</t>
  </si>
  <si>
    <t>Cash-flow waterfall by quarter; KPIs auto-derived.</t>
  </si>
  <si>
    <t>Strategy_Operations</t>
  </si>
  <si>
    <t>Tab: Strategy &amp; Operations</t>
  </si>
  <si>
    <t>Loaded but only Operations Readiness card is shown on dashboard.</t>
  </si>
  <si>
    <t>Pipeline_Revenue</t>
  </si>
  <si>
    <t>Tab: Pipeline &amp; Revenue</t>
  </si>
  <si>
    <t>Monthly revenue ramp + collections; KPIs auto-derived.</t>
  </si>
  <si>
    <t>Sales_Performance</t>
  </si>
  <si>
    <t>Tab: Sales Performance — KPI strip</t>
  </si>
  <si>
    <t>Counts and values by stage; auto-derived from raw opportunities.</t>
  </si>
  <si>
    <t>Sales_Raw_Opportunities</t>
  </si>
  <si>
    <t>Tab: Sales Performance — Opportunities Register table &amp; Funnel</t>
  </si>
  <si>
    <t>Single source of truth for every proposal/lead/won/lost record.</t>
  </si>
  <si>
    <t>Sales_Raw_Operations</t>
  </si>
  <si>
    <t>Internal — operations items (legacy)</t>
  </si>
  <si>
    <t>Optional; safe to leave empty.</t>
  </si>
  <si>
    <t>Sales_Stage_Details</t>
  </si>
  <si>
    <t>KPI tooltip drilldowns (week / month detail)</t>
  </si>
  <si>
    <t>One row per record per period; powers the hover/click tooltip.</t>
  </si>
  <si>
    <t>FINANCIAL OVERVIEW — FY 2026</t>
  </si>
  <si>
    <t>Drives the Financial Overview tab. Inputs in BLUE; formulas and links in BLACK/GREEN.</t>
  </si>
  <si>
    <t>KPI</t>
  </si>
  <si>
    <t>Value</t>
  </si>
  <si>
    <t>Unit</t>
  </si>
  <si>
    <t>Revenue 2026</t>
  </si>
  <si>
    <t>SAR</t>
  </si>
  <si>
    <t>Year total from P&amp;L (link)</t>
  </si>
  <si>
    <t>Gross Profit 2026</t>
  </si>
  <si>
    <t>Gross Profit year total (link)</t>
  </si>
  <si>
    <t>Net P/L 2026</t>
  </si>
  <si>
    <t>Net Profit / Loss year total (link)</t>
  </si>
  <si>
    <t>Overheads 2026</t>
  </si>
  <si>
    <t>Overheads year total (link, shown as positive number)</t>
  </si>
  <si>
    <t>Description</t>
  </si>
  <si>
    <t>Q1</t>
  </si>
  <si>
    <t>Q2</t>
  </si>
  <si>
    <t>Q3</t>
  </si>
  <si>
    <t>Q4</t>
  </si>
  <si>
    <t>Year 2026</t>
  </si>
  <si>
    <t>Revenue</t>
  </si>
  <si>
    <t>Cost of Revenue</t>
  </si>
  <si>
    <t>Gross Profit</t>
  </si>
  <si>
    <t>GP %</t>
  </si>
  <si>
    <t>Overheads</t>
  </si>
  <si>
    <t>Net Profit / Loss</t>
  </si>
  <si>
    <t>CASH FLOW — FY 2026</t>
  </si>
  <si>
    <t>Drives the Cash Flow tab. Cash flow is calculated by Excel — only adjust BLUE inputs.</t>
  </si>
  <si>
    <t>Opening Balance</t>
  </si>
  <si>
    <t>Q1 opening (input)</t>
  </si>
  <si>
    <t>Total Cash Inflow</t>
  </si>
  <si>
    <t>Sum of advisory + training collections</t>
  </si>
  <si>
    <t>Total Cash Outflow</t>
  </si>
  <si>
    <t>Cost of Revenue + G&amp;A (negative)</t>
  </si>
  <si>
    <t>Closing Balance</t>
  </si>
  <si>
    <t>Year-end cash position</t>
  </si>
  <si>
    <t>Advisory Collections</t>
  </si>
  <si>
    <t>Training Collections</t>
  </si>
  <si>
    <t>G&amp;A Expenses</t>
  </si>
  <si>
    <t>Net Cash Flow</t>
  </si>
  <si>
    <t>Cash Injection Required</t>
  </si>
  <si>
    <t>PIPELINE &amp; REVENUE — FY 2026</t>
  </si>
  <si>
    <t>Monthly revenue ramp + collection schedule. KPIs auto-derived from the data tables below.</t>
  </si>
  <si>
    <t>Metric</t>
  </si>
  <si>
    <t>Total Revenue Pipeline 2026</t>
  </si>
  <si>
    <t>Year Total of monthly Total Revenue (link to row 23)</t>
  </si>
  <si>
    <t>Proposals Q1–Q2 2026</t>
  </si>
  <si>
    <t>Sum of Proposal Value where Quarter = Q1 or Q2</t>
  </si>
  <si>
    <t>Active Proposals</t>
  </si>
  <si>
    <t>Count of clients with proposals in monthly ramp</t>
  </si>
  <si>
    <t>Month</t>
  </si>
  <si>
    <t>Advisory Revenue</t>
  </si>
  <si>
    <t>Training Revenue</t>
  </si>
  <si>
    <t>Total Revenue</t>
  </si>
  <si>
    <t>Quarter</t>
  </si>
  <si>
    <t>Client</t>
  </si>
  <si>
    <t>Proposal Value (SAR)</t>
  </si>
  <si>
    <t>Reserved</t>
  </si>
  <si>
    <t>Jan</t>
  </si>
  <si>
    <t>NADEC</t>
  </si>
  <si>
    <t>Feb</t>
  </si>
  <si>
    <t>MEP</t>
  </si>
  <si>
    <t>Mar</t>
  </si>
  <si>
    <t>ITQAN ESG</t>
  </si>
  <si>
    <t>Apr</t>
  </si>
  <si>
    <t>TADAWUL</t>
  </si>
  <si>
    <t>May</t>
  </si>
  <si>
    <t>MDL BEAST</t>
  </si>
  <si>
    <t>Jun</t>
  </si>
  <si>
    <t>OBEKAN</t>
  </si>
  <si>
    <t>Jul</t>
  </si>
  <si>
    <t>YAMAMA CEMENT</t>
  </si>
  <si>
    <t>Aug</t>
  </si>
  <si>
    <t>PIF — CFG</t>
  </si>
  <si>
    <t>Sep</t>
  </si>
  <si>
    <t>Financial Academy</t>
  </si>
  <si>
    <t>Oct</t>
  </si>
  <si>
    <t>Nov</t>
  </si>
  <si>
    <t>Year Total</t>
  </si>
  <si>
    <t>Total Collections</t>
  </si>
  <si>
    <t>SALES PERFORMANCE — KPI Strip</t>
  </si>
  <si>
    <t>All counts and values are auto-derived from Sales_Raw_Opportunities by stage.</t>
  </si>
  <si>
    <t>Count</t>
  </si>
  <si>
    <t>Value_SAR</t>
  </si>
  <si>
    <t>This_Month_Count</t>
  </si>
  <si>
    <t>This_Month_Value_or_Note</t>
  </si>
  <si>
    <t>This_Week_Count</t>
  </si>
  <si>
    <t>This_Week_Value_or_Note</t>
  </si>
  <si>
    <t>Insight Title</t>
  </si>
  <si>
    <t>Insight Detail</t>
  </si>
  <si>
    <t>Total Leads</t>
  </si>
  <si>
    <t>Proposals Submitted</t>
  </si>
  <si>
    <t>Won This Year</t>
  </si>
  <si>
    <t>Lost This Year</t>
  </si>
  <si>
    <t>ⓘ All values above are auto-calculated from Sales_Raw_Opportunities and Sales_Stage_Details. Edit those sheets to update KPIs.</t>
  </si>
  <si>
    <t>SALES — OPPORTUNITIES REGISTER</t>
  </si>
  <si>
    <t>Single source of truth for every proposal/lead/won/lost. KPIs and Funnel are derived from this table.</t>
  </si>
  <si>
    <t>Opportunity</t>
  </si>
  <si>
    <t>BD Lead</t>
  </si>
  <si>
    <t>Submitted</t>
  </si>
  <si>
    <t>Probability_Pct</t>
  </si>
  <si>
    <t>Weighted_Value_SAR</t>
  </si>
  <si>
    <t>Stage</t>
  </si>
  <si>
    <t>SALES — STAGE DETAILS (KPI Tooltip Drill-Down)</t>
  </si>
  <si>
    <t>One row per record per period. Period must be exactly 'This Week' or 'This Month'.</t>
  </si>
  <si>
    <t>Period</t>
  </si>
  <si>
    <t>Owner</t>
  </si>
  <si>
    <t>Lead</t>
  </si>
  <si>
    <t>This Week</t>
  </si>
  <si>
    <t>Won</t>
  </si>
  <si>
    <t>Lost</t>
  </si>
  <si>
    <t>SALES — OPERATIONS ITEMS</t>
  </si>
  <si>
    <t>Optional. The dashboard reads this but does not currently render any visible component from it.</t>
  </si>
  <si>
    <t>Operation Item</t>
  </si>
  <si>
    <t>Status</t>
  </si>
  <si>
    <t>Progress_Pct</t>
  </si>
  <si>
    <t>Done</t>
  </si>
  <si>
    <t>STRATEGY &amp; OPERATIONS</t>
  </si>
  <si>
    <t>Most of this sheet is no longer rendered on the dashboard (only Operations Readiness card remains).</t>
  </si>
  <si>
    <t>Section</t>
  </si>
  <si>
    <t>Content</t>
  </si>
  <si>
    <t>Operation Motive in Saudi Society</t>
  </si>
  <si>
    <t>Supporting community welfare and social development — encouraging volunteerism and community participation. Contributing to national development goals aligned with Saudi Vision 2030, promoting transparency and accountability under the National Center for Non-Profit Sector.</t>
  </si>
  <si>
    <t>Pillar</t>
  </si>
  <si>
    <t>Category</t>
  </si>
  <si>
    <t>Revenue (SAR)</t>
  </si>
  <si>
    <t>Share</t>
  </si>
  <si>
    <t>Advisory Services</t>
  </si>
  <si>
    <t>Strategic advisory for government and non-government sectors</t>
  </si>
  <si>
    <t>Advisory</t>
  </si>
  <si>
    <t>Training Courses</t>
  </si>
  <si>
    <t>Specialized training programs for institutional capacity building</t>
  </si>
  <si>
    <t>Training</t>
  </si>
  <si>
    <t>Innovation &amp; Technology</t>
  </si>
  <si>
    <t>Scalable, compliant, technology-driven solutions for social impact</t>
  </si>
  <si>
    <t>Sector</t>
  </si>
  <si>
    <t>Key Point 1</t>
  </si>
  <si>
    <t>Key Point 2</t>
  </si>
  <si>
    <t>Government Sector</t>
  </si>
  <si>
    <t>Training, advisory, and innovation support to government institutions</t>
  </si>
  <si>
    <t>Leverage regulatory compliance, public sector programs, and government partnerships</t>
  </si>
  <si>
    <t>Non-Government Sector</t>
  </si>
  <si>
    <t>Engage NGOs, private foundations, and social enterprises</t>
  </si>
  <si>
    <t>Tailored programs in advisory, innovation, and technology services</t>
  </si>
  <si>
    <t>Type</t>
  </si>
  <si>
    <t>Detail</t>
  </si>
  <si>
    <t>Approach 1</t>
  </si>
  <si>
    <t>Map key government agencies and NGOs aligned with mission</t>
  </si>
  <si>
    <t>Approach 2</t>
  </si>
  <si>
    <t>Develop sector-specific solutions and service packages</t>
  </si>
  <si>
    <t>Approach 3</t>
  </si>
  <si>
    <t>Strengthen relationships via workshops, consultations, and pilot projects</t>
  </si>
  <si>
    <t>Goal 1</t>
  </si>
  <si>
    <t>Position as a trusted partner for government and non-government sectors</t>
  </si>
  <si>
    <t>Goal 2</t>
  </si>
  <si>
    <t>Expand reach, credibility, and impact by year-end</t>
  </si>
  <si>
    <t>VP 1</t>
  </si>
  <si>
    <t>Act as a bridge between government initiatives and community/non-profit impact</t>
  </si>
  <si>
    <t>VP 2</t>
  </si>
  <si>
    <t>Provide specialized services that are compliant, innovative, and scalable</t>
  </si>
  <si>
    <t>VP 3</t>
  </si>
  <si>
    <t>Advisory drives 60% of revenue — high-margin strategic consulting</t>
  </si>
  <si>
    <t>VP 4</t>
  </si>
  <si>
    <t>Training at 40% — scalable capacity building with recurring revenue potential</t>
  </si>
  <si>
    <t>Alinma Bank</t>
  </si>
  <si>
    <t>SABIC</t>
  </si>
  <si>
    <t>Kaplan</t>
  </si>
  <si>
    <t>CMA(Fintech)</t>
  </si>
  <si>
    <t>Avilease</t>
  </si>
  <si>
    <t xml:space="preserve">Saudi Global Ports </t>
  </si>
  <si>
    <t>Governance Training &amp; Social Imapct Measurment</t>
  </si>
  <si>
    <t>MEP Sustanability Champion Support</t>
  </si>
  <si>
    <t>ESG Training Certification Partnership</t>
  </si>
  <si>
    <t>Supporting Fentec Saudi on Sustainable Investment</t>
  </si>
  <si>
    <t>Governance Training &amp; ESG Advisory</t>
  </si>
  <si>
    <t>Value_</t>
  </si>
  <si>
    <t>Bank Account Activation</t>
  </si>
  <si>
    <t>National Address</t>
  </si>
  <si>
    <t>External Audit+Zakat Return (2025)</t>
  </si>
  <si>
    <t>Inprogress</t>
  </si>
  <si>
    <t>Website</t>
  </si>
  <si>
    <t>Advisory Committee</t>
  </si>
  <si>
    <t>Governance Policies</t>
  </si>
  <si>
    <t>Recruitment</t>
  </si>
  <si>
    <t>Commercial Registration(Profit Org)</t>
  </si>
  <si>
    <t>ZATCA update (2011-2018)</t>
  </si>
  <si>
    <t>ZATCA update (2019-2024)</t>
  </si>
  <si>
    <t>ZATCA update (2025)-External Auditor</t>
  </si>
  <si>
    <t>Saafah HR Transation</t>
  </si>
  <si>
    <t>Saafah Ehtimad on Boarding</t>
  </si>
  <si>
    <t>ITQAN</t>
  </si>
  <si>
    <t>Middle Beast</t>
  </si>
  <si>
    <t>Obeikan</t>
  </si>
  <si>
    <t>PIF</t>
  </si>
  <si>
    <t>Center For Government</t>
  </si>
  <si>
    <t>SIDF</t>
  </si>
  <si>
    <t>Tadawul Group</t>
  </si>
  <si>
    <t>CMA</t>
  </si>
  <si>
    <t>Humain</t>
  </si>
  <si>
    <t>Expo</t>
  </si>
  <si>
    <t>Riyadh Air</t>
  </si>
  <si>
    <t>Nestle</t>
  </si>
  <si>
    <t>KPMG</t>
  </si>
  <si>
    <t>NCFB</t>
  </si>
  <si>
    <t>Gosi-Mentorship</t>
  </si>
  <si>
    <t>ESG and Corporate Governance Enablement</t>
  </si>
  <si>
    <t>ESG Workshop</t>
  </si>
  <si>
    <t>Acceselerating Success for the KSA Sustainability Champions Program</t>
  </si>
  <si>
    <t xml:space="preserve">Attache ESG Enablement </t>
  </si>
  <si>
    <t>ESG Integration</t>
  </si>
  <si>
    <t>RPI ESG Workshop</t>
  </si>
  <si>
    <t>PIF Offsite Proposal</t>
  </si>
  <si>
    <t>ESG and Sustainability Course Development</t>
  </si>
  <si>
    <t>Monshaat ESG Course</t>
  </si>
  <si>
    <t>ESG and Corporate Governance Graduate Enablement</t>
  </si>
  <si>
    <t>AI In Action</t>
  </si>
  <si>
    <t>GDP ESG Workshop</t>
  </si>
  <si>
    <t>Sustainable Finance /MEP Campaign</t>
  </si>
  <si>
    <t>ESG Certificate</t>
  </si>
  <si>
    <t>AI &amp; Governance</t>
  </si>
  <si>
    <t>Community Education</t>
  </si>
  <si>
    <t>Anti Money laundry /Fraud Cousre</t>
  </si>
  <si>
    <t>ESG Academy</t>
  </si>
  <si>
    <t>Environmental Training</t>
  </si>
  <si>
    <t>Mentorship Program</t>
  </si>
  <si>
    <t>Mentorship Platfrom</t>
  </si>
  <si>
    <t>Gihan Hyde</t>
  </si>
  <si>
    <t>Active</t>
  </si>
  <si>
    <t>On Hold</t>
  </si>
  <si>
    <t>No Payment, Marketing Purpouse</t>
  </si>
  <si>
    <t>100%, no Payment from the Client/Marketing Purpouse-Gihan will be the host</t>
  </si>
  <si>
    <t>Won Date</t>
  </si>
  <si>
    <t>Mentorship Programs</t>
  </si>
  <si>
    <t>Mentorship Program Revenue</t>
  </si>
  <si>
    <t>Dec</t>
  </si>
  <si>
    <t>The National Company for Mechanical Systems (NCMS) 
الشركة الوطنية للأنظمة الميكانيكية</t>
  </si>
  <si>
    <t>Governance Framework Advisory</t>
  </si>
  <si>
    <t xml:space="preserve">Savvy Group ( PIF </t>
  </si>
  <si>
    <t xml:space="preserve">Mentorship </t>
  </si>
  <si>
    <t xml:space="preserve">april 26th </t>
  </si>
  <si>
    <t>On 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</si>
</sst>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-"/>
    <numFmt numFmtId="165" formatCode="0.0%;\(0.0%\);\-"/>
    <numFmt numFmtId="166" formatCode="[$-409]d\-mmm\-yy;@"/>
    <numFmt numFmtId="167" formatCode="_(* #,##0_);_(* \(#,##0\);_(* &quot;-&quot;??_);_(@_)"/>
  </numFmts>
  <fonts count="17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6"/>
      <color rgb="FF1E4D20"/>
      <name val="Arial"/>
      <family val="2"/>
    </font>
    <font>
      <i/>
      <sz val="11"/>
      <color rgb="FF595959"/>
      <name val="Arial"/>
      <family val="2"/>
    </font>
    <font>
      <b/>
      <sz val="12"/>
      <color rgb="FF1E4D20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sz val="10"/>
      <color rgb="FF008000"/>
      <name val="Arial"/>
      <family val="2"/>
    </font>
    <font>
      <b/>
      <sz val="10"/>
      <color rgb="FF595959"/>
      <name val="Arial"/>
      <family val="2"/>
    </font>
    <font>
      <b/>
      <sz val="10"/>
      <color rgb="FF000000"/>
      <name val="Arial"/>
      <family val="2"/>
    </font>
    <font>
      <b/>
      <sz val="11"/>
      <color rgb="FFFFFFFF"/>
      <name val="Arial"/>
      <family val="2"/>
    </font>
    <font>
      <b/>
      <sz val="10"/>
      <color rgb="FF1E4D20"/>
      <name val="Arial"/>
      <family val="2"/>
    </font>
    <font>
      <i/>
      <sz val="9"/>
      <color rgb="FF595959"/>
      <name val="Arial"/>
      <family val="2"/>
    </font>
    <font>
      <b/>
      <sz val="10"/>
      <color rgb="FFB7950B"/>
      <name val="Arial"/>
      <family val="2"/>
    </font>
    <font>
      <b/>
      <sz val="11"/>
      <color rgb="FFFFFFFF"/>
      <name val="Arial"/>
      <family val="2"/>
    </font>
    <font>
      <sz val="11"/>
      <color theme="1"/>
      <name val="Calibri"/>
      <family val="2"/>
      <charset val="1"/>
    </font>
    <font>
      <b/>
      <sz val="14"/>
      <color theme="6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AFAF7"/>
        <bgColor rgb="FFFFFFFF"/>
      </patternFill>
    </fill>
    <fill>
      <patternFill patternType="solid">
        <fgColor rgb="FFF5EBD2"/>
        <bgColor rgb="FFEAF4FB"/>
      </patternFill>
    </fill>
    <fill>
      <patternFill patternType="solid">
        <fgColor rgb="FF1E4D20"/>
        <bgColor rgb="FF333300"/>
      </patternFill>
    </fill>
    <fill>
      <patternFill patternType="solid">
        <fgColor rgb="FFEAF4FB"/>
        <bgColor rgb="FFFAFAF7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rgb="FFEAF4FB"/>
      </patternFill>
    </fill>
  </fills>
  <borders count="3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medium">
        <color indexed="64"/>
      </left>
      <right style="medium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51">
    <xf numFmtId="0" fontId="0" fillId="0" borderId="0" xfId="0"/>
    <xf numFmtId="0" fontId="10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11" fillId="0" borderId="1" xfId="0" applyFont="1" applyBorder="1"/>
    <xf numFmtId="164" fontId="7" fillId="0" borderId="1" xfId="0" applyNumberFormat="1" applyFont="1" applyBorder="1"/>
    <xf numFmtId="0" fontId="8" fillId="2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164" fontId="6" fillId="5" borderId="1" xfId="0" applyNumberFormat="1" applyFont="1" applyFill="1" applyBorder="1"/>
    <xf numFmtId="164" fontId="5" fillId="0" borderId="1" xfId="0" applyNumberFormat="1" applyFont="1" applyBorder="1"/>
    <xf numFmtId="0" fontId="11" fillId="2" borderId="1" xfId="0" applyFont="1" applyFill="1" applyBorder="1" applyAlignment="1">
      <alignment horizontal="left" vertical="center" wrapText="1"/>
    </xf>
    <xf numFmtId="164" fontId="9" fillId="3" borderId="1" xfId="0" applyNumberFormat="1" applyFont="1" applyFill="1" applyBorder="1"/>
    <xf numFmtId="165" fontId="5" fillId="0" borderId="1" xfId="0" applyNumberFormat="1" applyFont="1" applyBorder="1"/>
    <xf numFmtId="0" fontId="13" fillId="2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 wrapText="1"/>
    </xf>
    <xf numFmtId="0" fontId="6" fillId="5" borderId="1" xfId="0" applyFont="1" applyFill="1" applyBorder="1"/>
    <xf numFmtId="165" fontId="6" fillId="5" borderId="1" xfId="0" applyNumberFormat="1" applyFont="1" applyFill="1" applyBorder="1"/>
    <xf numFmtId="0" fontId="6" fillId="0" borderId="1" xfId="0" applyFont="1" applyBorder="1"/>
    <xf numFmtId="164" fontId="6" fillId="0" borderId="1" xfId="0" applyNumberFormat="1" applyFont="1" applyBorder="1"/>
    <xf numFmtId="165" fontId="6" fillId="0" borderId="1" xfId="0" applyNumberFormat="1" applyFont="1" applyBorder="1"/>
    <xf numFmtId="0" fontId="2" fillId="0" borderId="0" xfId="0" applyFont="1"/>
    <xf numFmtId="0" fontId="3" fillId="0" borderId="0" xfId="0" applyFont="1"/>
    <xf numFmtId="166" fontId="10" fillId="4" borderId="1" xfId="0" applyNumberFormat="1" applyFont="1" applyFill="1" applyBorder="1" applyAlignment="1">
      <alignment horizontal="center" vertical="center"/>
    </xf>
    <xf numFmtId="166" fontId="6" fillId="5" borderId="1" xfId="0" applyNumberFormat="1" applyFont="1" applyFill="1" applyBorder="1" applyAlignment="1">
      <alignment horizontal="center" vertical="center"/>
    </xf>
    <xf numFmtId="166" fontId="6" fillId="0" borderId="1" xfId="0" applyNumberFormat="1" applyFont="1" applyBorder="1"/>
    <xf numFmtId="166" fontId="0" fillId="0" borderId="0" xfId="0" applyNumberFormat="1"/>
    <xf numFmtId="0" fontId="6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16" fontId="2" fillId="0" borderId="0" xfId="0" applyNumberFormat="1" applyFont="1"/>
    <xf numFmtId="166" fontId="14" fillId="4" borderId="1" xfId="0" applyNumberFormat="1" applyFont="1" applyFill="1" applyBorder="1" applyAlignment="1">
      <alignment horizontal="center" vertical="center"/>
    </xf>
    <xf numFmtId="43" fontId="16" fillId="6" borderId="2" xfId="0" applyNumberFormat="1" applyFont="1" applyFill="1" applyBorder="1"/>
    <xf numFmtId="167" fontId="0" fillId="0" borderId="0" xfId="1" applyNumberFormat="1" applyFont="1"/>
    <xf numFmtId="164" fontId="9" fillId="7" borderId="1" xfId="0" applyNumberFormat="1" applyFont="1" applyFill="1" applyBorder="1"/>
    <xf numFmtId="0" fontId="3" fillId="0" borderId="0" xfId="0" applyFont="1"/>
    <xf numFmtId="0" fontId="12" fillId="0" borderId="0" xfId="0" applyFont="1"/>
    <xf numFmtId="0" fontId="2" fillId="0" borderId="0" xfId="0" applyFont="1" applyAlignment="1">
      <alignment horizontal="left" vertical="center" wrapText="1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10" fillId="4" borderId="1" xfId="0" applyFont="1" applyFill="1" applyBorder="1" applyAlignment="1">
      <alignment horizontal="center" vertical="center"/>
    </xf>
    <xf numFmtId="0" fontId="2" fillId="0" borderId="0" xfId="0" applyFont="1"/>
  </cellXfs>
  <cellStyles count="4">
    <cellStyle name="Comma" xfId="1" builtinId="3"/>
    <cellStyle name="Comma 13" xfId="3" xr:uid="{49AD273E-B2B2-4AF1-B521-61793DDE33B6}"/>
    <cellStyle name="Normal" xfId="0" builtinId="0"/>
    <cellStyle name="Normal 15" xfId="2" xr:uid="{833E9DE7-21A3-43DD-8551-E57B383B4D27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7950B"/>
      <rgbColor rgb="FF800080"/>
      <rgbColor rgb="FF008080"/>
      <rgbColor rgb="FFC0C0C0"/>
      <rgbColor rgb="FF808080"/>
      <rgbColor rgb="FF9999FF"/>
      <rgbColor rgb="FF993366"/>
      <rgbColor rgb="FFFAFAF7"/>
      <rgbColor rgb="FFEAF4FB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5EBD2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E4D2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topLeftCell="A7" zoomScaleNormal="100" workbookViewId="0">
      <selection activeCell="A23" sqref="A23"/>
    </sheetView>
  </sheetViews>
  <sheetFormatPr defaultColWidth="8.6640625" defaultRowHeight="14.4" x14ac:dyDescent="0.3"/>
  <cols>
    <col min="1" max="1" width="28" customWidth="1"/>
    <col min="2" max="2" width="35" customWidth="1"/>
    <col min="3" max="6" width="18" customWidth="1"/>
  </cols>
  <sheetData>
    <row r="1" spans="1:6" ht="27.75" customHeight="1" x14ac:dyDescent="0.3">
      <c r="A1" s="45" t="s">
        <v>0</v>
      </c>
      <c r="B1" s="45"/>
      <c r="C1" s="45"/>
      <c r="D1" s="45"/>
      <c r="E1" s="45"/>
      <c r="F1" s="45"/>
    </row>
    <row r="2" spans="1:6" ht="18" customHeight="1" x14ac:dyDescent="0.3">
      <c r="A2" s="43" t="s">
        <v>1</v>
      </c>
      <c r="B2" s="43"/>
      <c r="C2" s="43"/>
      <c r="D2" s="43"/>
      <c r="E2" s="43"/>
      <c r="F2" s="43"/>
    </row>
    <row r="4" spans="1:6" ht="15.6" x14ac:dyDescent="0.3">
      <c r="A4" s="46" t="s">
        <v>2</v>
      </c>
      <c r="B4" s="46"/>
      <c r="C4" s="46"/>
      <c r="D4" s="46"/>
      <c r="E4" s="46"/>
      <c r="F4" s="46"/>
    </row>
    <row r="5" spans="1:6" ht="18" customHeight="1" x14ac:dyDescent="0.3">
      <c r="A5" s="47" t="s">
        <v>3</v>
      </c>
      <c r="B5" s="47"/>
      <c r="C5" s="47"/>
      <c r="D5" s="47"/>
      <c r="E5" s="47"/>
      <c r="F5" s="47"/>
    </row>
    <row r="6" spans="1:6" ht="18" customHeight="1" x14ac:dyDescent="0.3">
      <c r="A6" s="47" t="s">
        <v>4</v>
      </c>
      <c r="B6" s="47"/>
      <c r="C6" s="47"/>
      <c r="D6" s="47"/>
      <c r="E6" s="47"/>
      <c r="F6" s="47"/>
    </row>
    <row r="7" spans="1:6" ht="18" customHeight="1" x14ac:dyDescent="0.3">
      <c r="A7" s="47" t="s">
        <v>5</v>
      </c>
      <c r="B7" s="47"/>
      <c r="C7" s="47"/>
      <c r="D7" s="47"/>
      <c r="E7" s="47"/>
      <c r="F7" s="47"/>
    </row>
    <row r="8" spans="1:6" ht="18" customHeight="1" x14ac:dyDescent="0.3">
      <c r="A8" s="47" t="s">
        <v>6</v>
      </c>
      <c r="B8" s="47"/>
      <c r="C8" s="47"/>
      <c r="D8" s="47"/>
      <c r="E8" s="47"/>
      <c r="F8" s="47"/>
    </row>
    <row r="9" spans="1:6" ht="18" customHeight="1" x14ac:dyDescent="0.3">
      <c r="A9" s="47" t="s">
        <v>7</v>
      </c>
      <c r="B9" s="47"/>
      <c r="C9" s="47"/>
      <c r="D9" s="47"/>
      <c r="E9" s="47"/>
      <c r="F9" s="47"/>
    </row>
    <row r="10" spans="1:6" ht="18" customHeight="1" x14ac:dyDescent="0.3">
      <c r="A10" s="47" t="s">
        <v>8</v>
      </c>
      <c r="B10" s="47"/>
      <c r="C10" s="47"/>
      <c r="D10" s="47"/>
      <c r="E10" s="47"/>
      <c r="F10" s="47"/>
    </row>
    <row r="12" spans="1:6" ht="15.6" x14ac:dyDescent="0.3">
      <c r="A12" s="46" t="s">
        <v>9</v>
      </c>
      <c r="B12" s="46"/>
      <c r="C12" s="46"/>
      <c r="D12" s="46"/>
      <c r="E12" s="46"/>
      <c r="F12" s="46"/>
    </row>
    <row r="13" spans="1:6" ht="15" customHeight="1" x14ac:dyDescent="0.3">
      <c r="A13" s="3" t="s">
        <v>10</v>
      </c>
      <c r="B13" s="48" t="s">
        <v>11</v>
      </c>
      <c r="C13" s="48"/>
      <c r="D13" s="48"/>
      <c r="E13" s="48"/>
      <c r="F13" s="48"/>
    </row>
    <row r="14" spans="1:6" ht="15" customHeight="1" x14ac:dyDescent="0.3">
      <c r="A14" s="2" t="s">
        <v>12</v>
      </c>
      <c r="B14" s="48" t="s">
        <v>13</v>
      </c>
      <c r="C14" s="48"/>
      <c r="D14" s="48"/>
      <c r="E14" s="48"/>
      <c r="F14" s="48"/>
    </row>
    <row r="15" spans="1:6" ht="15" customHeight="1" x14ac:dyDescent="0.3">
      <c r="A15" s="4" t="s">
        <v>14</v>
      </c>
      <c r="B15" s="48" t="s">
        <v>15</v>
      </c>
      <c r="C15" s="48"/>
      <c r="D15" s="48"/>
      <c r="E15" s="48"/>
      <c r="F15" s="48"/>
    </row>
    <row r="16" spans="1:6" ht="15" customHeight="1" x14ac:dyDescent="0.3">
      <c r="A16" s="5" t="s">
        <v>16</v>
      </c>
      <c r="B16" s="48" t="s">
        <v>17</v>
      </c>
      <c r="C16" s="48"/>
      <c r="D16" s="48"/>
      <c r="E16" s="48"/>
      <c r="F16" s="48"/>
    </row>
    <row r="17" spans="1:6" ht="15" customHeight="1" x14ac:dyDescent="0.3">
      <c r="A17" s="6" t="s">
        <v>18</v>
      </c>
      <c r="B17" s="48" t="s">
        <v>19</v>
      </c>
      <c r="C17" s="48"/>
      <c r="D17" s="48"/>
      <c r="E17" s="48"/>
      <c r="F17" s="48"/>
    </row>
    <row r="20" spans="1:6" ht="15.6" x14ac:dyDescent="0.3">
      <c r="A20" s="46" t="s">
        <v>20</v>
      </c>
      <c r="B20" s="46"/>
      <c r="C20" s="46"/>
      <c r="D20" s="46"/>
      <c r="E20" s="46"/>
      <c r="F20" s="46"/>
    </row>
    <row r="21" spans="1:6" ht="21.75" customHeight="1" x14ac:dyDescent="0.3">
      <c r="A21" s="1" t="s">
        <v>21</v>
      </c>
      <c r="B21" s="1" t="s">
        <v>22</v>
      </c>
      <c r="C21" s="49" t="s">
        <v>23</v>
      </c>
      <c r="D21" s="49"/>
      <c r="E21" s="49"/>
      <c r="F21" s="49"/>
    </row>
    <row r="22" spans="1:6" ht="27.75" customHeight="1" x14ac:dyDescent="0.3">
      <c r="A22" s="7" t="s">
        <v>24</v>
      </c>
      <c r="B22" s="2" t="s">
        <v>25</v>
      </c>
      <c r="C22" s="48" t="s">
        <v>26</v>
      </c>
      <c r="D22" s="48"/>
      <c r="E22" s="48"/>
      <c r="F22" s="48"/>
    </row>
    <row r="23" spans="1:6" ht="27.75" customHeight="1" x14ac:dyDescent="0.3">
      <c r="A23" s="7" t="s">
        <v>27</v>
      </c>
      <c r="B23" s="2" t="s">
        <v>28</v>
      </c>
      <c r="C23" s="48" t="s">
        <v>29</v>
      </c>
      <c r="D23" s="48"/>
      <c r="E23" s="48"/>
      <c r="F23" s="48"/>
    </row>
    <row r="24" spans="1:6" ht="27.75" customHeight="1" x14ac:dyDescent="0.3">
      <c r="A24" s="7" t="s">
        <v>30</v>
      </c>
      <c r="B24" s="2" t="s">
        <v>31</v>
      </c>
      <c r="C24" s="48" t="s">
        <v>32</v>
      </c>
      <c r="D24" s="48"/>
      <c r="E24" s="48"/>
      <c r="F24" s="48"/>
    </row>
    <row r="25" spans="1:6" ht="27.75" customHeight="1" x14ac:dyDescent="0.3">
      <c r="A25" s="7" t="s">
        <v>33</v>
      </c>
      <c r="B25" s="2" t="s">
        <v>34</v>
      </c>
      <c r="C25" s="48" t="s">
        <v>35</v>
      </c>
      <c r="D25" s="48"/>
      <c r="E25" s="48"/>
      <c r="F25" s="48"/>
    </row>
    <row r="26" spans="1:6" ht="27.75" customHeight="1" x14ac:dyDescent="0.3">
      <c r="A26" s="7" t="s">
        <v>36</v>
      </c>
      <c r="B26" s="2" t="s">
        <v>37</v>
      </c>
      <c r="C26" s="48" t="s">
        <v>38</v>
      </c>
      <c r="D26" s="48"/>
      <c r="E26" s="48"/>
      <c r="F26" s="48"/>
    </row>
    <row r="27" spans="1:6" ht="27.75" customHeight="1" x14ac:dyDescent="0.3">
      <c r="A27" s="7" t="s">
        <v>39</v>
      </c>
      <c r="B27" s="2" t="s">
        <v>40</v>
      </c>
      <c r="C27" s="48" t="s">
        <v>41</v>
      </c>
      <c r="D27" s="48"/>
      <c r="E27" s="48"/>
      <c r="F27" s="48"/>
    </row>
    <row r="28" spans="1:6" ht="27.75" customHeight="1" x14ac:dyDescent="0.3">
      <c r="A28" s="7" t="s">
        <v>42</v>
      </c>
      <c r="B28" s="2" t="s">
        <v>43</v>
      </c>
      <c r="C28" s="48" t="s">
        <v>44</v>
      </c>
      <c r="D28" s="48"/>
      <c r="E28" s="48"/>
      <c r="F28" s="48"/>
    </row>
    <row r="29" spans="1:6" ht="27.75" customHeight="1" x14ac:dyDescent="0.3">
      <c r="A29" s="7" t="s">
        <v>45</v>
      </c>
      <c r="B29" s="2" t="s">
        <v>46</v>
      </c>
      <c r="C29" s="48" t="s">
        <v>47</v>
      </c>
      <c r="D29" s="48"/>
      <c r="E29" s="48"/>
      <c r="F29" s="48"/>
    </row>
  </sheetData>
  <mergeCells count="25">
    <mergeCell ref="C25:F25"/>
    <mergeCell ref="C26:F26"/>
    <mergeCell ref="C27:F27"/>
    <mergeCell ref="C28:F28"/>
    <mergeCell ref="C29:F29"/>
    <mergeCell ref="A20:F20"/>
    <mergeCell ref="C21:F21"/>
    <mergeCell ref="C22:F22"/>
    <mergeCell ref="C23:F23"/>
    <mergeCell ref="C24:F24"/>
    <mergeCell ref="B13:F13"/>
    <mergeCell ref="B14:F14"/>
    <mergeCell ref="B15:F15"/>
    <mergeCell ref="B16:F16"/>
    <mergeCell ref="B17:F17"/>
    <mergeCell ref="A7:F7"/>
    <mergeCell ref="A8:F8"/>
    <mergeCell ref="A9:F9"/>
    <mergeCell ref="A10:F10"/>
    <mergeCell ref="A12:F12"/>
    <mergeCell ref="A1:F1"/>
    <mergeCell ref="A2:F2"/>
    <mergeCell ref="A4:F4"/>
    <mergeCell ref="A5:F5"/>
    <mergeCell ref="A6:F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1"/>
  <sheetViews>
    <sheetView zoomScale="85" zoomScaleNormal="8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7" sqref="B7"/>
    </sheetView>
  </sheetViews>
  <sheetFormatPr defaultColWidth="8.6640625" defaultRowHeight="14.4" x14ac:dyDescent="0.3"/>
  <cols>
    <col min="1" max="1" width="28" customWidth="1"/>
    <col min="2" max="6" width="16" customWidth="1"/>
  </cols>
  <sheetData>
    <row r="1" spans="1:9" ht="25.5" customHeight="1" x14ac:dyDescent="0.4">
      <c r="A1" s="50" t="s">
        <v>48</v>
      </c>
      <c r="B1" s="50"/>
      <c r="C1" s="50"/>
      <c r="D1" s="50"/>
      <c r="E1" s="50"/>
      <c r="F1" s="50"/>
    </row>
    <row r="2" spans="1:9" x14ac:dyDescent="0.3">
      <c r="A2" s="43" t="s">
        <v>49</v>
      </c>
      <c r="B2" s="43"/>
      <c r="C2" s="43"/>
      <c r="D2" s="43"/>
      <c r="E2" s="43"/>
      <c r="F2" s="43"/>
    </row>
    <row r="4" spans="1:9" ht="21.75" customHeight="1" x14ac:dyDescent="0.3">
      <c r="A4" s="1" t="s">
        <v>50</v>
      </c>
      <c r="B4" s="1" t="s">
        <v>51</v>
      </c>
      <c r="C4" s="1" t="s">
        <v>52</v>
      </c>
      <c r="D4" s="1" t="s">
        <v>23</v>
      </c>
    </row>
    <row r="5" spans="1:9" ht="22.8" x14ac:dyDescent="0.3">
      <c r="A5" s="5" t="s">
        <v>53</v>
      </c>
      <c r="B5" s="8">
        <f>F11</f>
        <v>2273750</v>
      </c>
      <c r="C5" s="9" t="s">
        <v>54</v>
      </c>
      <c r="D5" s="10" t="s">
        <v>55</v>
      </c>
    </row>
    <row r="6" spans="1:9" ht="22.8" x14ac:dyDescent="0.3">
      <c r="A6" s="5" t="s">
        <v>56</v>
      </c>
      <c r="B6" s="8">
        <f>F13</f>
        <v>948875</v>
      </c>
      <c r="C6" s="9" t="s">
        <v>54</v>
      </c>
      <c r="D6" s="10" t="s">
        <v>57</v>
      </c>
    </row>
    <row r="7" spans="1:9" ht="22.8" x14ac:dyDescent="0.3">
      <c r="A7" s="5" t="s">
        <v>58</v>
      </c>
      <c r="B7" s="8">
        <f>F16</f>
        <v>-1773814.6425000001</v>
      </c>
      <c r="C7" s="9" t="s">
        <v>54</v>
      </c>
      <c r="D7" s="10" t="s">
        <v>59</v>
      </c>
    </row>
    <row r="8" spans="1:9" ht="34.200000000000003" x14ac:dyDescent="0.3">
      <c r="A8" s="5" t="s">
        <v>60</v>
      </c>
      <c r="B8" s="8">
        <f>ABS(F15)</f>
        <v>2722689.6425000001</v>
      </c>
      <c r="C8" s="9" t="s">
        <v>54</v>
      </c>
      <c r="D8" s="10" t="s">
        <v>61</v>
      </c>
    </row>
    <row r="10" spans="1:9" ht="21.75" customHeight="1" x14ac:dyDescent="0.3">
      <c r="A10" s="1" t="s">
        <v>62</v>
      </c>
      <c r="B10" s="1" t="s">
        <v>63</v>
      </c>
      <c r="C10" s="1" t="s">
        <v>64</v>
      </c>
      <c r="D10" s="1" t="s">
        <v>65</v>
      </c>
      <c r="E10" s="1" t="s">
        <v>66</v>
      </c>
      <c r="F10" s="1" t="s">
        <v>67</v>
      </c>
    </row>
    <row r="11" spans="1:9" x14ac:dyDescent="0.3">
      <c r="A11" s="5" t="s">
        <v>68</v>
      </c>
      <c r="B11" s="11">
        <v>0</v>
      </c>
      <c r="C11" s="11">
        <v>330000</v>
      </c>
      <c r="D11" s="11">
        <v>906750</v>
      </c>
      <c r="E11" s="11">
        <v>1037000</v>
      </c>
      <c r="F11" s="12">
        <f>SUM(B11:E11)</f>
        <v>2273750</v>
      </c>
    </row>
    <row r="12" spans="1:9" x14ac:dyDescent="0.3">
      <c r="A12" s="5" t="s">
        <v>69</v>
      </c>
      <c r="B12">
        <v>0</v>
      </c>
      <c r="C12">
        <v>-198000</v>
      </c>
      <c r="D12">
        <v>-525375</v>
      </c>
      <c r="E12">
        <v>-601500</v>
      </c>
      <c r="F12" s="12">
        <f>SUM(B12:E12)</f>
        <v>-1324875</v>
      </c>
    </row>
    <row r="13" spans="1:9" x14ac:dyDescent="0.3">
      <c r="A13" s="13" t="s">
        <v>70</v>
      </c>
      <c r="B13" s="14">
        <f>B11+B12</f>
        <v>0</v>
      </c>
      <c r="C13" s="14">
        <f>C11+C12</f>
        <v>132000</v>
      </c>
      <c r="D13" s="14">
        <f>D11+D12</f>
        <v>381375</v>
      </c>
      <c r="E13" s="14">
        <f>E11+E12</f>
        <v>435500</v>
      </c>
      <c r="F13" s="14">
        <f>F11+F12</f>
        <v>948875</v>
      </c>
      <c r="I13">
        <v>-1</v>
      </c>
    </row>
    <row r="14" spans="1:9" x14ac:dyDescent="0.3">
      <c r="A14" s="5" t="s">
        <v>71</v>
      </c>
      <c r="B14" s="15">
        <f>IFERROR(B13/B11,0)</f>
        <v>0</v>
      </c>
      <c r="C14" s="15">
        <f>IFERROR(C13/C11,0)</f>
        <v>0.4</v>
      </c>
      <c r="D14" s="15">
        <f>IFERROR(D13/D11,0)</f>
        <v>0.42059553349875928</v>
      </c>
      <c r="E14" s="15">
        <f>IFERROR(E13/E11,0)</f>
        <v>0.41996142719382834</v>
      </c>
      <c r="F14" s="15">
        <f>IFERROR(F13/F11,0)</f>
        <v>0.41731720725673449</v>
      </c>
    </row>
    <row r="15" spans="1:9" x14ac:dyDescent="0.3">
      <c r="A15" s="5" t="s">
        <v>72</v>
      </c>
      <c r="B15" s="41">
        <v>-670413.09</v>
      </c>
      <c r="C15" s="41">
        <v>-637944.98583333299</v>
      </c>
      <c r="D15" s="41">
        <v>-656001.9</v>
      </c>
      <c r="E15" s="41">
        <v>-758329.66666666698</v>
      </c>
      <c r="F15" s="12">
        <f>SUM(B15:E15)</f>
        <v>-2722689.6425000001</v>
      </c>
    </row>
    <row r="16" spans="1:9" x14ac:dyDescent="0.3">
      <c r="A16" s="13" t="s">
        <v>73</v>
      </c>
      <c r="B16" s="14">
        <f>B13+B15</f>
        <v>-670413.09</v>
      </c>
      <c r="C16" s="14">
        <f>C13+C15</f>
        <v>-505944.98583333299</v>
      </c>
      <c r="D16" s="14">
        <f>D13+D15</f>
        <v>-274626.90000000002</v>
      </c>
      <c r="E16" s="14">
        <f>E13+E15</f>
        <v>-322829.66666666698</v>
      </c>
      <c r="F16" s="14">
        <f>F13+F15</f>
        <v>-1773814.6425000001</v>
      </c>
    </row>
    <row r="21" spans="4:7" ht="18" x14ac:dyDescent="0.35">
      <c r="D21" s="40"/>
      <c r="E21" s="40"/>
      <c r="F21" s="40"/>
      <c r="G21" s="40"/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8" sqref="B8"/>
    </sheetView>
  </sheetViews>
  <sheetFormatPr defaultColWidth="8.6640625" defaultRowHeight="14.4" x14ac:dyDescent="0.3"/>
  <cols>
    <col min="1" max="1" width="28" customWidth="1"/>
    <col min="2" max="6" width="16" customWidth="1"/>
  </cols>
  <sheetData>
    <row r="1" spans="1:6" ht="25.5" customHeight="1" x14ac:dyDescent="0.4">
      <c r="A1" s="50" t="s">
        <v>74</v>
      </c>
      <c r="B1" s="50"/>
      <c r="C1" s="50"/>
      <c r="D1" s="50"/>
      <c r="E1" s="50"/>
      <c r="F1" s="50"/>
    </row>
    <row r="2" spans="1:6" x14ac:dyDescent="0.3">
      <c r="A2" s="43" t="s">
        <v>75</v>
      </c>
      <c r="B2" s="43"/>
      <c r="C2" s="43"/>
      <c r="D2" s="43"/>
      <c r="E2" s="43"/>
      <c r="F2" s="43"/>
    </row>
    <row r="4" spans="1:6" ht="21.75" customHeight="1" x14ac:dyDescent="0.3">
      <c r="A4" s="1" t="s">
        <v>50</v>
      </c>
      <c r="B4" s="1" t="s">
        <v>51</v>
      </c>
      <c r="C4" s="1" t="s">
        <v>52</v>
      </c>
      <c r="D4" s="1" t="s">
        <v>23</v>
      </c>
    </row>
    <row r="5" spans="1:6" x14ac:dyDescent="0.3">
      <c r="A5" s="5" t="s">
        <v>76</v>
      </c>
      <c r="B5" s="8">
        <f>B11</f>
        <v>581455.34000000008</v>
      </c>
      <c r="C5" s="9" t="s">
        <v>54</v>
      </c>
      <c r="D5" s="10" t="s">
        <v>77</v>
      </c>
    </row>
    <row r="6" spans="1:6" ht="22.8" x14ac:dyDescent="0.3">
      <c r="A6" s="5" t="s">
        <v>78</v>
      </c>
      <c r="B6" s="8">
        <f>F15</f>
        <v>1822062.5</v>
      </c>
      <c r="C6" s="9" t="s">
        <v>54</v>
      </c>
      <c r="D6" s="10" t="s">
        <v>79</v>
      </c>
    </row>
    <row r="7" spans="1:6" ht="22.8" x14ac:dyDescent="0.3">
      <c r="A7" s="5" t="s">
        <v>80</v>
      </c>
      <c r="B7" s="8">
        <f>F16+F17</f>
        <v>-4047564.6425000001</v>
      </c>
      <c r="C7" s="9" t="s">
        <v>54</v>
      </c>
      <c r="D7" s="10" t="s">
        <v>81</v>
      </c>
    </row>
    <row r="8" spans="1:6" ht="22.8" x14ac:dyDescent="0.3">
      <c r="A8" s="5" t="s">
        <v>82</v>
      </c>
      <c r="B8" s="8">
        <f>F19</f>
        <v>-1644046.8024999998</v>
      </c>
      <c r="C8" s="9" t="s">
        <v>54</v>
      </c>
      <c r="D8" s="10" t="s">
        <v>83</v>
      </c>
    </row>
    <row r="10" spans="1:6" ht="21.75" customHeight="1" x14ac:dyDescent="0.3">
      <c r="A10" s="1" t="s">
        <v>62</v>
      </c>
      <c r="B10" s="1" t="s">
        <v>63</v>
      </c>
      <c r="C10" s="1" t="s">
        <v>64</v>
      </c>
      <c r="D10" s="1" t="s">
        <v>65</v>
      </c>
      <c r="E10" s="1" t="s">
        <v>66</v>
      </c>
      <c r="F10" s="1" t="s">
        <v>67</v>
      </c>
    </row>
    <row r="11" spans="1:6" x14ac:dyDescent="0.3">
      <c r="A11" s="5" t="s">
        <v>76</v>
      </c>
      <c r="B11" s="11">
        <v>581455.34000000008</v>
      </c>
      <c r="C11" s="12">
        <v>-88957.749999999884</v>
      </c>
      <c r="D11" s="12">
        <v>-736902.73583333287</v>
      </c>
      <c r="E11" s="12">
        <v>-1311092.1358333328</v>
      </c>
      <c r="F11" s="12">
        <f>B11</f>
        <v>581455.34000000008</v>
      </c>
    </row>
    <row r="12" spans="1:6" x14ac:dyDescent="0.3">
      <c r="A12" s="5" t="s">
        <v>84</v>
      </c>
      <c r="B12" s="8">
        <v>0</v>
      </c>
      <c r="C12" s="8">
        <v>0</v>
      </c>
      <c r="D12" s="8">
        <v>400000</v>
      </c>
      <c r="E12" s="8">
        <v>560000</v>
      </c>
      <c r="F12" s="12">
        <f>SUM(B12:E12)</f>
        <v>960000</v>
      </c>
    </row>
    <row r="13" spans="1:6" x14ac:dyDescent="0.3">
      <c r="A13" s="5" t="s">
        <v>272</v>
      </c>
      <c r="B13" s="8">
        <v>0</v>
      </c>
      <c r="C13" s="8">
        <v>188000</v>
      </c>
      <c r="D13" s="8">
        <v>150000</v>
      </c>
      <c r="E13" s="8">
        <v>270000</v>
      </c>
      <c r="F13" s="12">
        <f>SUM(B13:E13)</f>
        <v>608000</v>
      </c>
    </row>
    <row r="14" spans="1:6" x14ac:dyDescent="0.3">
      <c r="A14" s="5" t="s">
        <v>85</v>
      </c>
      <c r="B14" s="8">
        <v>0</v>
      </c>
      <c r="C14" s="8">
        <v>0</v>
      </c>
      <c r="D14" s="8">
        <v>57187.5</v>
      </c>
      <c r="E14" s="8">
        <v>196875</v>
      </c>
      <c r="F14" s="12">
        <f>SUM(B14:E14)</f>
        <v>254062.5</v>
      </c>
    </row>
    <row r="15" spans="1:6" x14ac:dyDescent="0.3">
      <c r="A15" s="14" t="s">
        <v>78</v>
      </c>
      <c r="B15" s="14">
        <f>SUM(B12:B14)</f>
        <v>0</v>
      </c>
      <c r="C15" s="14">
        <f t="shared" ref="C15:E15" si="0">SUM(C12:C14)</f>
        <v>188000</v>
      </c>
      <c r="D15" s="14">
        <f t="shared" si="0"/>
        <v>607187.5</v>
      </c>
      <c r="E15" s="14">
        <f t="shared" si="0"/>
        <v>1026875</v>
      </c>
      <c r="F15" s="14">
        <f>F12+F14+F13</f>
        <v>1822062.5</v>
      </c>
    </row>
    <row r="16" spans="1:6" x14ac:dyDescent="0.3">
      <c r="A16" s="5" t="s">
        <v>69</v>
      </c>
      <c r="B16" s="8">
        <v>0</v>
      </c>
      <c r="C16" s="8">
        <v>-198000</v>
      </c>
      <c r="D16" s="8">
        <v>-507375</v>
      </c>
      <c r="E16" s="8">
        <v>-601500</v>
      </c>
      <c r="F16" s="8">
        <f>Financial_Overview!F12</f>
        <v>-1324875</v>
      </c>
    </row>
    <row r="17" spans="1:6" x14ac:dyDescent="0.3">
      <c r="A17" s="5" t="s">
        <v>86</v>
      </c>
      <c r="B17" s="8">
        <f>Financial_Overview!B15</f>
        <v>-670413.09</v>
      </c>
      <c r="C17" s="8">
        <f>Financial_Overview!C15</f>
        <v>-637944.98583333299</v>
      </c>
      <c r="D17" s="8">
        <f>Financial_Overview!D15</f>
        <v>-656001.9</v>
      </c>
      <c r="E17" s="8">
        <f>Financial_Overview!E15</f>
        <v>-758329.66666666698</v>
      </c>
      <c r="F17" s="8">
        <f>Financial_Overview!F15</f>
        <v>-2722689.6425000001</v>
      </c>
    </row>
    <row r="18" spans="1:6" x14ac:dyDescent="0.3">
      <c r="A18" s="13" t="s">
        <v>87</v>
      </c>
      <c r="B18" s="14">
        <f>B15+B16+B17</f>
        <v>-670413.09</v>
      </c>
      <c r="C18" s="14">
        <f t="shared" ref="C18:E18" si="1">C15+C16+C17</f>
        <v>-647944.98583333299</v>
      </c>
      <c r="D18" s="14">
        <f t="shared" si="1"/>
        <v>-556189.4</v>
      </c>
      <c r="E18" s="14">
        <f t="shared" si="1"/>
        <v>-332954.66666666698</v>
      </c>
      <c r="F18" s="14">
        <f>F15+F16+F17</f>
        <v>-2225502.1425000001</v>
      </c>
    </row>
    <row r="19" spans="1:6" x14ac:dyDescent="0.3">
      <c r="A19" s="13" t="s">
        <v>82</v>
      </c>
      <c r="B19" s="42">
        <f>B18+B11</f>
        <v>-88957.749999999884</v>
      </c>
      <c r="C19" s="42">
        <f t="shared" ref="C19:E19" si="2">C18+C11</f>
        <v>-736902.73583333287</v>
      </c>
      <c r="D19" s="42">
        <f t="shared" si="2"/>
        <v>-1293092.1358333328</v>
      </c>
      <c r="E19" s="42">
        <f t="shared" si="2"/>
        <v>-1644046.8024999998</v>
      </c>
      <c r="F19" s="14">
        <f>E19</f>
        <v>-1644046.8024999998</v>
      </c>
    </row>
    <row r="20" spans="1:6" x14ac:dyDescent="0.3">
      <c r="A20" s="16" t="s">
        <v>88</v>
      </c>
      <c r="B20" s="12">
        <f>IF(B19&lt;0,B19,0)</f>
        <v>-88957.749999999884</v>
      </c>
      <c r="C20" s="12">
        <f>IF(C19&lt;0,C19,0)</f>
        <v>-736902.73583333287</v>
      </c>
      <c r="D20" s="12">
        <f>IF(D19&lt;0,D19,0)</f>
        <v>-1293092.1358333328</v>
      </c>
      <c r="E20" s="12">
        <f>IF(E19&lt;0,E19,0)</f>
        <v>-1644046.8024999998</v>
      </c>
      <c r="F20" s="12">
        <f>E20</f>
        <v>-1644046.8024999998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4"/>
  <sheetViews>
    <sheetView zoomScaleNormal="100" workbookViewId="0">
      <pane xSplit="1" ySplit="10" topLeftCell="B19" activePane="bottomRight" state="frozen"/>
      <selection pane="topRight" activeCell="B1" sqref="B1"/>
      <selection pane="bottomLeft" activeCell="A11" sqref="A11"/>
      <selection pane="bottomRight" activeCell="F28" sqref="F28"/>
    </sheetView>
  </sheetViews>
  <sheetFormatPr defaultColWidth="8.6640625" defaultRowHeight="14.4" x14ac:dyDescent="0.3"/>
  <cols>
    <col min="1" max="1" width="18" customWidth="1"/>
    <col min="2" max="2" width="19.33203125" bestFit="1" customWidth="1"/>
    <col min="3" max="3" width="19" bestFit="1" customWidth="1"/>
    <col min="4" max="8" width="17" customWidth="1"/>
    <col min="9" max="9" width="12" customWidth="1"/>
  </cols>
  <sheetData>
    <row r="1" spans="1:10" ht="25.5" customHeight="1" x14ac:dyDescent="0.4">
      <c r="A1" s="50" t="s">
        <v>89</v>
      </c>
      <c r="B1" s="50"/>
      <c r="C1" s="50"/>
      <c r="D1" s="50"/>
      <c r="E1" s="50"/>
      <c r="F1" s="50"/>
      <c r="G1" s="50"/>
      <c r="H1" s="50"/>
      <c r="I1" s="50"/>
    </row>
    <row r="2" spans="1:10" x14ac:dyDescent="0.3">
      <c r="A2" s="43" t="s">
        <v>90</v>
      </c>
      <c r="B2" s="43"/>
      <c r="C2" s="43"/>
      <c r="D2" s="43"/>
      <c r="E2" s="43"/>
      <c r="F2" s="43"/>
      <c r="G2" s="43"/>
      <c r="H2" s="43"/>
      <c r="I2" s="43"/>
    </row>
    <row r="4" spans="1:10" ht="21.75" customHeight="1" x14ac:dyDescent="0.3">
      <c r="A4" s="1" t="s">
        <v>91</v>
      </c>
      <c r="B4" s="1" t="s">
        <v>51</v>
      </c>
      <c r="C4" s="1" t="s">
        <v>23</v>
      </c>
    </row>
    <row r="5" spans="1:10" ht="34.200000000000003" x14ac:dyDescent="0.3">
      <c r="A5" s="5" t="s">
        <v>92</v>
      </c>
      <c r="B5" s="8">
        <f>E24</f>
        <v>1822062.5</v>
      </c>
      <c r="C5" s="10" t="s">
        <v>93</v>
      </c>
    </row>
    <row r="6" spans="1:10" ht="34.200000000000003" x14ac:dyDescent="0.3">
      <c r="A6" s="5" t="s">
        <v>94</v>
      </c>
      <c r="B6" s="12">
        <f>SUMIFS(H12:H22,F12:F22,"Q1")+SUMIFS(H12:H22,F12:F22,"Q2")</f>
        <v>1970000</v>
      </c>
      <c r="C6" s="10" t="s">
        <v>95</v>
      </c>
    </row>
    <row r="7" spans="1:10" ht="34.200000000000003" x14ac:dyDescent="0.3">
      <c r="A7" s="5" t="s">
        <v>96</v>
      </c>
      <c r="B7" s="12">
        <f>COUNTA(G12:G22)</f>
        <v>9</v>
      </c>
      <c r="C7" s="10" t="s">
        <v>97</v>
      </c>
    </row>
    <row r="10" spans="1:10" ht="42.6" customHeight="1" x14ac:dyDescent="0.3">
      <c r="A10" s="1" t="s">
        <v>98</v>
      </c>
      <c r="B10" s="1" t="s">
        <v>99</v>
      </c>
      <c r="C10" s="1" t="s">
        <v>100</v>
      </c>
      <c r="D10" s="37" t="s">
        <v>281</v>
      </c>
      <c r="E10" s="1" t="s">
        <v>101</v>
      </c>
      <c r="F10" s="1" t="s">
        <v>102</v>
      </c>
      <c r="G10" s="1" t="s">
        <v>103</v>
      </c>
      <c r="H10" s="1" t="s">
        <v>104</v>
      </c>
      <c r="I10" s="1" t="s">
        <v>23</v>
      </c>
      <c r="J10" s="1" t="s">
        <v>105</v>
      </c>
    </row>
    <row r="12" spans="1:10" x14ac:dyDescent="0.3">
      <c r="A12" s="9" t="s">
        <v>106</v>
      </c>
      <c r="B12" s="11"/>
      <c r="C12" s="11"/>
      <c r="D12" s="11"/>
      <c r="E12" s="12">
        <f>B12+C12+D12</f>
        <v>0</v>
      </c>
      <c r="F12" s="17" t="s">
        <v>63</v>
      </c>
      <c r="G12" s="18" t="s">
        <v>107</v>
      </c>
      <c r="H12" s="11">
        <v>500000</v>
      </c>
      <c r="I12" s="18"/>
    </row>
    <row r="13" spans="1:10" x14ac:dyDescent="0.3">
      <c r="A13" s="9" t="s">
        <v>108</v>
      </c>
      <c r="B13" s="11"/>
      <c r="C13" s="11"/>
      <c r="D13" s="11"/>
      <c r="E13" s="12">
        <f t="shared" ref="E13:E23" si="0">B13+C13+D13</f>
        <v>0</v>
      </c>
      <c r="F13" s="17" t="s">
        <v>63</v>
      </c>
      <c r="G13" s="18" t="s">
        <v>109</v>
      </c>
      <c r="H13" s="11">
        <v>500000</v>
      </c>
      <c r="I13" s="18"/>
    </row>
    <row r="14" spans="1:10" x14ac:dyDescent="0.3">
      <c r="A14" s="9" t="s">
        <v>110</v>
      </c>
      <c r="B14" s="11"/>
      <c r="C14" s="11"/>
      <c r="D14" s="11"/>
      <c r="E14" s="12">
        <f t="shared" si="0"/>
        <v>0</v>
      </c>
      <c r="F14" s="17" t="s">
        <v>63</v>
      </c>
      <c r="G14" s="18" t="s">
        <v>111</v>
      </c>
      <c r="H14" s="11">
        <v>350000</v>
      </c>
      <c r="I14" s="18"/>
    </row>
    <row r="15" spans="1:10" x14ac:dyDescent="0.3">
      <c r="A15" s="9" t="s">
        <v>112</v>
      </c>
      <c r="B15" s="11"/>
      <c r="C15" s="11"/>
      <c r="D15" s="11"/>
      <c r="E15" s="12">
        <f t="shared" si="0"/>
        <v>0</v>
      </c>
      <c r="F15" s="17" t="s">
        <v>64</v>
      </c>
      <c r="G15" s="18" t="s">
        <v>113</v>
      </c>
      <c r="H15" s="11">
        <v>330000</v>
      </c>
      <c r="I15" s="18"/>
    </row>
    <row r="16" spans="1:10" x14ac:dyDescent="0.3">
      <c r="A16" s="9" t="s">
        <v>114</v>
      </c>
      <c r="B16">
        <v>80000</v>
      </c>
      <c r="C16">
        <v>86250</v>
      </c>
      <c r="E16" s="12">
        <f t="shared" si="0"/>
        <v>166250</v>
      </c>
      <c r="F16" s="17" t="s">
        <v>64</v>
      </c>
      <c r="G16" s="18" t="s">
        <v>115</v>
      </c>
      <c r="H16" s="11">
        <v>220000</v>
      </c>
      <c r="I16" s="18"/>
    </row>
    <row r="17" spans="1:9" x14ac:dyDescent="0.3">
      <c r="A17" s="9" t="s">
        <v>116</v>
      </c>
      <c r="B17">
        <v>160000</v>
      </c>
      <c r="C17">
        <v>101750</v>
      </c>
      <c r="E17" s="12">
        <f t="shared" si="0"/>
        <v>261750</v>
      </c>
      <c r="F17" s="17" t="s">
        <v>64</v>
      </c>
      <c r="G17" s="18" t="s">
        <v>117</v>
      </c>
      <c r="H17" s="11">
        <v>70000</v>
      </c>
      <c r="I17" s="18"/>
    </row>
    <row r="18" spans="1:9" x14ac:dyDescent="0.3">
      <c r="A18" s="9" t="s">
        <v>118</v>
      </c>
      <c r="B18">
        <v>160000</v>
      </c>
      <c r="C18">
        <v>30000</v>
      </c>
      <c r="E18" s="12">
        <f t="shared" si="0"/>
        <v>190000</v>
      </c>
      <c r="F18" s="17" t="s">
        <v>65</v>
      </c>
      <c r="G18" s="18" t="s">
        <v>119</v>
      </c>
      <c r="H18" s="11">
        <v>50000</v>
      </c>
      <c r="I18" s="18"/>
    </row>
    <row r="19" spans="1:9" x14ac:dyDescent="0.3">
      <c r="A19" s="9" t="s">
        <v>120</v>
      </c>
      <c r="B19">
        <v>160000</v>
      </c>
      <c r="C19">
        <v>60000</v>
      </c>
      <c r="E19" s="12">
        <f t="shared" si="0"/>
        <v>220000</v>
      </c>
      <c r="F19" s="17" t="s">
        <v>65</v>
      </c>
      <c r="G19" s="18" t="s">
        <v>121</v>
      </c>
      <c r="H19" s="11">
        <v>45000</v>
      </c>
      <c r="I19" s="18"/>
    </row>
    <row r="20" spans="1:9" x14ac:dyDescent="0.3">
      <c r="A20" s="9" t="s">
        <v>122</v>
      </c>
      <c r="B20">
        <v>160000</v>
      </c>
      <c r="C20">
        <v>60000</v>
      </c>
      <c r="D20">
        <v>57187.5</v>
      </c>
      <c r="E20" s="12">
        <f t="shared" si="0"/>
        <v>277187.5</v>
      </c>
      <c r="F20" s="17" t="s">
        <v>65</v>
      </c>
      <c r="G20" s="18" t="s">
        <v>123</v>
      </c>
      <c r="H20" s="11">
        <v>30000</v>
      </c>
      <c r="I20" s="18"/>
    </row>
    <row r="21" spans="1:9" x14ac:dyDescent="0.3">
      <c r="A21" s="9" t="s">
        <v>124</v>
      </c>
      <c r="B21">
        <v>240000</v>
      </c>
      <c r="C21">
        <v>90000</v>
      </c>
      <c r="D21">
        <v>62250</v>
      </c>
      <c r="E21" s="12">
        <f t="shared" si="0"/>
        <v>392250</v>
      </c>
      <c r="F21" s="17" t="s">
        <v>66</v>
      </c>
      <c r="G21" s="18"/>
      <c r="H21" s="11"/>
      <c r="I21" s="18"/>
    </row>
    <row r="22" spans="1:9" x14ac:dyDescent="0.3">
      <c r="A22" s="9" t="s">
        <v>125</v>
      </c>
      <c r="C22">
        <v>90000</v>
      </c>
      <c r="D22">
        <v>67312.5</v>
      </c>
      <c r="E22" s="12">
        <f t="shared" si="0"/>
        <v>157312.5</v>
      </c>
      <c r="F22" s="17" t="s">
        <v>66</v>
      </c>
      <c r="G22" s="18"/>
      <c r="H22" s="11"/>
      <c r="I22" s="18"/>
    </row>
    <row r="23" spans="1:9" x14ac:dyDescent="0.3">
      <c r="A23" s="9" t="s">
        <v>282</v>
      </c>
      <c r="C23">
        <v>90000</v>
      </c>
      <c r="D23">
        <v>67312.5</v>
      </c>
      <c r="E23" s="12">
        <f t="shared" si="0"/>
        <v>157312.5</v>
      </c>
      <c r="F23" s="17" t="s">
        <v>66</v>
      </c>
      <c r="G23" s="18"/>
      <c r="H23" s="11"/>
      <c r="I23" s="18"/>
    </row>
    <row r="24" spans="1:9" x14ac:dyDescent="0.3">
      <c r="A24" s="19" t="s">
        <v>126</v>
      </c>
      <c r="B24" s="14">
        <f>SUM(B12:B23)</f>
        <v>960000</v>
      </c>
      <c r="C24" s="14">
        <f t="shared" ref="C24:D24" si="1">SUM(C12:C23)</f>
        <v>608000</v>
      </c>
      <c r="D24" s="14">
        <f t="shared" si="1"/>
        <v>254062.5</v>
      </c>
      <c r="E24" s="14">
        <f>SUM(E12:E23)</f>
        <v>1822062.5</v>
      </c>
      <c r="F24" s="20"/>
      <c r="G24" s="21"/>
      <c r="H24" s="14">
        <f>SUM(H12:H22)</f>
        <v>2095000</v>
      </c>
      <c r="I24" s="21"/>
    </row>
    <row r="27" spans="1:9" ht="21.75" customHeight="1" x14ac:dyDescent="0.3">
      <c r="A27" s="1" t="s">
        <v>62</v>
      </c>
      <c r="B27" s="1" t="s">
        <v>63</v>
      </c>
      <c r="C27" s="1" t="s">
        <v>64</v>
      </c>
      <c r="D27" s="1" t="s">
        <v>65</v>
      </c>
      <c r="E27" s="1" t="s">
        <v>66</v>
      </c>
      <c r="F27" s="1" t="s">
        <v>67</v>
      </c>
    </row>
    <row r="28" spans="1:9" x14ac:dyDescent="0.3">
      <c r="A28" s="13" t="s">
        <v>127</v>
      </c>
      <c r="B28" s="14">
        <f>B29+B31</f>
        <v>0</v>
      </c>
      <c r="C28" s="14">
        <f>C29+C31</f>
        <v>428000</v>
      </c>
      <c r="D28" s="14">
        <f>D29+D31</f>
        <v>630000</v>
      </c>
      <c r="E28" s="14">
        <f>E29+E31</f>
        <v>510000</v>
      </c>
      <c r="F28" s="14">
        <f>F29+F31+F30</f>
        <v>1822062.5</v>
      </c>
    </row>
    <row r="29" spans="1:9" ht="26.4" x14ac:dyDescent="0.3">
      <c r="A29" s="5" t="s">
        <v>84</v>
      </c>
      <c r="B29" s="11">
        <v>0</v>
      </c>
      <c r="C29" s="11">
        <f>SUM(B15:B17)</f>
        <v>240000</v>
      </c>
      <c r="D29" s="11">
        <f>SUM(B18:B20)</f>
        <v>480000</v>
      </c>
      <c r="E29" s="11">
        <f>SUM(B21:B23)</f>
        <v>240000</v>
      </c>
      <c r="F29" s="12">
        <f>SUM(B29:E29)</f>
        <v>960000</v>
      </c>
    </row>
    <row r="30" spans="1:9" ht="26.4" x14ac:dyDescent="0.3">
      <c r="A30" s="5" t="s">
        <v>280</v>
      </c>
      <c r="B30" s="11"/>
      <c r="C30" s="11">
        <f>SUM(D15:D17)</f>
        <v>0</v>
      </c>
      <c r="D30" s="11">
        <f>SUM(D18:D20)</f>
        <v>57187.5</v>
      </c>
      <c r="E30" s="11">
        <f>SUM(D21:D23)</f>
        <v>196875</v>
      </c>
      <c r="F30" s="12">
        <f t="shared" ref="F30:F31" si="2">SUM(B30:E30)</f>
        <v>254062.5</v>
      </c>
    </row>
    <row r="31" spans="1:9" ht="26.4" x14ac:dyDescent="0.3">
      <c r="A31" s="5" t="s">
        <v>85</v>
      </c>
      <c r="B31" s="11">
        <v>0</v>
      </c>
      <c r="C31" s="11">
        <f>SUM(C15:C17)</f>
        <v>188000</v>
      </c>
      <c r="D31" s="11">
        <f>SUM(C18:C20)</f>
        <v>150000</v>
      </c>
      <c r="E31" s="11">
        <f>SUM(C21:C23)</f>
        <v>270000</v>
      </c>
      <c r="F31" s="12">
        <f t="shared" si="2"/>
        <v>608000</v>
      </c>
    </row>
    <row r="37" spans="2:12" x14ac:dyDescent="0.3">
      <c r="B37">
        <v>80000</v>
      </c>
      <c r="C37">
        <v>86250</v>
      </c>
      <c r="D37">
        <v>57187.5</v>
      </c>
      <c r="E37">
        <v>86250</v>
      </c>
      <c r="F37">
        <v>101750</v>
      </c>
      <c r="G37">
        <v>30000</v>
      </c>
      <c r="H37">
        <v>60000</v>
      </c>
      <c r="I37">
        <v>60000</v>
      </c>
      <c r="J37">
        <v>90000</v>
      </c>
      <c r="K37">
        <v>90000</v>
      </c>
      <c r="L37">
        <v>90000</v>
      </c>
    </row>
    <row r="38" spans="2:12" x14ac:dyDescent="0.3">
      <c r="B38">
        <v>160000</v>
      </c>
      <c r="C38">
        <v>101750</v>
      </c>
      <c r="D38">
        <v>62250</v>
      </c>
      <c r="E38">
        <v>57187.5</v>
      </c>
      <c r="F38">
        <v>62250</v>
      </c>
      <c r="G38">
        <v>67312.5</v>
      </c>
      <c r="H38">
        <v>67312.5</v>
      </c>
    </row>
    <row r="39" spans="2:12" x14ac:dyDescent="0.3">
      <c r="B39">
        <v>160000</v>
      </c>
      <c r="C39">
        <v>30000</v>
      </c>
      <c r="D39">
        <v>67312.5</v>
      </c>
    </row>
    <row r="40" spans="2:12" x14ac:dyDescent="0.3">
      <c r="B40">
        <v>160000</v>
      </c>
      <c r="C40">
        <v>60000</v>
      </c>
      <c r="D40">
        <v>67312.5</v>
      </c>
    </row>
    <row r="41" spans="2:12" x14ac:dyDescent="0.3">
      <c r="B41">
        <v>160000</v>
      </c>
      <c r="C41">
        <v>60000</v>
      </c>
    </row>
    <row r="42" spans="2:12" x14ac:dyDescent="0.3">
      <c r="B42">
        <v>240000</v>
      </c>
      <c r="C42">
        <v>90000</v>
      </c>
    </row>
    <row r="43" spans="2:12" x14ac:dyDescent="0.3">
      <c r="C43">
        <v>90000</v>
      </c>
    </row>
    <row r="44" spans="2:12" x14ac:dyDescent="0.3">
      <c r="C44">
        <v>90000</v>
      </c>
    </row>
  </sheetData>
  <mergeCells count="2">
    <mergeCell ref="A1:I1"/>
    <mergeCell ref="A2:I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2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C8" sqref="C8"/>
    </sheetView>
  </sheetViews>
  <sheetFormatPr defaultColWidth="8.6640625" defaultRowHeight="14.4" x14ac:dyDescent="0.3"/>
  <cols>
    <col min="1" max="1" width="22" customWidth="1"/>
    <col min="2" max="4" width="16" customWidth="1"/>
    <col min="5" max="5" width="29.44140625" customWidth="1"/>
    <col min="6" max="7" width="16" customWidth="1"/>
    <col min="8" max="8" width="22" customWidth="1"/>
    <col min="9" max="9" width="30" customWidth="1"/>
  </cols>
  <sheetData>
    <row r="1" spans="1:9" ht="25.5" customHeight="1" x14ac:dyDescent="0.4">
      <c r="A1" s="27" t="s">
        <v>128</v>
      </c>
      <c r="B1" s="27"/>
      <c r="C1" s="27"/>
      <c r="D1" s="27"/>
      <c r="E1" s="27"/>
      <c r="F1" s="27"/>
      <c r="G1" s="27"/>
      <c r="H1" s="27"/>
      <c r="I1" s="38">
        <v>46126</v>
      </c>
    </row>
    <row r="2" spans="1:9" x14ac:dyDescent="0.3">
      <c r="A2" s="43" t="s">
        <v>129</v>
      </c>
      <c r="B2" s="43"/>
      <c r="C2" s="43"/>
      <c r="D2" s="43"/>
      <c r="E2" s="43"/>
      <c r="F2" s="43"/>
      <c r="G2" s="43"/>
      <c r="H2" s="43"/>
      <c r="I2" s="43"/>
    </row>
    <row r="4" spans="1:9" ht="21.75" customHeight="1" x14ac:dyDescent="0.3">
      <c r="A4" s="1" t="s">
        <v>91</v>
      </c>
      <c r="B4" s="1" t="s">
        <v>130</v>
      </c>
      <c r="C4" s="1" t="s">
        <v>131</v>
      </c>
      <c r="D4" s="37" t="s">
        <v>132</v>
      </c>
      <c r="E4" s="1" t="s">
        <v>133</v>
      </c>
      <c r="F4" s="1" t="s">
        <v>134</v>
      </c>
      <c r="G4" s="1" t="s">
        <v>135</v>
      </c>
      <c r="H4" s="1" t="s">
        <v>136</v>
      </c>
      <c r="I4" s="1" t="s">
        <v>137</v>
      </c>
    </row>
    <row r="5" spans="1:9" x14ac:dyDescent="0.3">
      <c r="A5" s="13" t="s">
        <v>138</v>
      </c>
      <c r="B5" s="8">
        <f>COUNTIF(Sales_Stage_Details!A:A,"Lead")</f>
        <v>8</v>
      </c>
      <c r="C5" s="8">
        <f>SUMIF(Sales_Stage_Details!A:A,"Lead",Sales_Stage_Details!E:E)</f>
        <v>450000</v>
      </c>
      <c r="D5" s="8">
        <f>B5</f>
        <v>8</v>
      </c>
      <c r="E5" s="8">
        <f>C5</f>
        <v>450000</v>
      </c>
      <c r="F5" s="8">
        <f>COUNTIFS(Sales_Stage_Details!A5:A193,"Lead",Sales_Stage_Details!B5:B193,"This Week")</f>
        <v>8</v>
      </c>
      <c r="G5" s="8">
        <f>SUMIFS(Sales_Stage_Details!E5:E193,Sales_Stage_Details!A5:A193,"Lead",Sales_Stage_Details!B5:B193,"This Week")</f>
        <v>450000</v>
      </c>
      <c r="H5" s="22"/>
      <c r="I5" s="22"/>
    </row>
    <row r="6" spans="1:9" x14ac:dyDescent="0.3">
      <c r="A6" s="13" t="s">
        <v>96</v>
      </c>
      <c r="B6" s="8">
        <f>COUNTIF(Sales_Raw_Opportunities!I4:I999,"Active Proposal")</f>
        <v>0</v>
      </c>
      <c r="C6" s="8">
        <f>SUMIFS(Sales_Raw_Opportunities!F4:F999,Sales_Raw_Opportunities!I4:I999,"Active Proposal")</f>
        <v>0</v>
      </c>
      <c r="D6" s="8">
        <f ca="1">SUMPRODUCT((Sales_Raw_Opportunities!I4:I999="Active Proposal")*(Sales_Raw_Opportunities!D4:D999=TEXT(TODAY(),"mmm yyyy")))</f>
        <v>0</v>
      </c>
      <c r="E6" s="8"/>
      <c r="F6" s="8">
        <f>COUNTIFS(Sales_Stage_Details!A5:A193,"Active Proposal",Sales_Stage_Details!B5:B193,"This Week")</f>
        <v>0</v>
      </c>
      <c r="G6" s="8">
        <f>SUMIFS(Sales_Stage_Details!E5:E193,Sales_Stage_Details!A5:A193,"Active Proposal",Sales_Stage_Details!B5:B193,"This Week")</f>
        <v>0</v>
      </c>
      <c r="H6" s="22"/>
      <c r="I6" s="22"/>
    </row>
    <row r="7" spans="1:9" x14ac:dyDescent="0.3">
      <c r="A7" s="13" t="s">
        <v>139</v>
      </c>
      <c r="B7" s="8">
        <f>COUNTIF(Sales_Raw_Opportunities!I4:I999,"Submitted")</f>
        <v>5</v>
      </c>
      <c r="C7" s="8">
        <f>SUMIFS(Sales_Raw_Opportunities!F4:F999,Sales_Raw_Opportunities!I4:I999,"Submitted")</f>
        <v>1365000</v>
      </c>
      <c r="D7" s="8">
        <f ca="1">SUMPRODUCT((Sales_Raw_Opportunities!I4:I999="Submitted")*(Sales_Raw_Opportunities!D4:D999=TEXT(TODAY(),"mmm yyyy")))</f>
        <v>0</v>
      </c>
      <c r="E7" s="8">
        <f>SUMIFS(
    Sales_Raw_Opportunities!F:F,
    Sales_Raw_Opportunities!I:I,"Submitted",
    Sales_Raw_Opportunities!D:D,"&gt;"&amp;Sales_Performance!I1
)</f>
        <v>85000</v>
      </c>
      <c r="F7" s="8">
        <f>COUNTIFS(Sales_Stage_Details!A5:A193,"Submitted",Sales_Stage_Details!B5:B193,"This Week")</f>
        <v>0</v>
      </c>
      <c r="G7" s="8">
        <f>SUMIFS(Sales_Stage_Details!E5:E193,Sales_Stage_Details!A5:A193,"Submitted",Sales_Stage_Details!B5:B193,"This Week")</f>
        <v>0</v>
      </c>
      <c r="H7" s="22"/>
      <c r="I7" s="22"/>
    </row>
    <row r="8" spans="1:9" x14ac:dyDescent="0.3">
      <c r="A8" s="13" t="s">
        <v>140</v>
      </c>
      <c r="B8" s="8">
        <f>COUNTIF(Sales_Raw_Opportunities!I4:I999,"Won")</f>
        <v>4</v>
      </c>
      <c r="C8" s="8">
        <f>SUMIFS(Sales_Raw_Opportunities!F4:F999,Sales_Raw_Opportunities!I4:I999,"Won")</f>
        <v>165000</v>
      </c>
      <c r="D8" s="8">
        <f ca="1">SUMPRODUCT((Sales_Raw_Opportunities!I4:I999="Won")*(Sales_Raw_Opportunities!D4:D999=TEXT(TODAY(),"mmm yyyy")))</f>
        <v>0</v>
      </c>
      <c r="E8" s="8">
        <v>0</v>
      </c>
      <c r="F8" s="8">
        <f>COUNTIFS(Sales_Stage_Details!A5:A193,"Won",Sales_Stage_Details!B5:B193,"This Week")</f>
        <v>0</v>
      </c>
      <c r="G8" s="8">
        <f>SUMIFS(Sales_Stage_Details!E5:E193,Sales_Stage_Details!A5:A193,"Won",Sales_Stage_Details!B5:B193,"This Week")</f>
        <v>0</v>
      </c>
      <c r="H8" s="22"/>
      <c r="I8" s="22"/>
    </row>
    <row r="9" spans="1:9" x14ac:dyDescent="0.3">
      <c r="A9" s="13" t="s">
        <v>141</v>
      </c>
      <c r="B9" s="8">
        <f>COUNTIF(Sales_Raw_Opportunities!I4:I999,"Lost")</f>
        <v>4</v>
      </c>
      <c r="C9" s="8">
        <f>SUMIFS(Sales_Raw_Opportunities!F4:F999,Sales_Raw_Opportunities!I4:I999,"Lost")</f>
        <v>355000</v>
      </c>
      <c r="D9" s="8">
        <f ca="1">SUMPRODUCT((Sales_Raw_Opportunities!I4:I999="Lost")*(Sales_Raw_Opportunities!D4:D999=TEXT(TODAY(),"mmm yyyy")))</f>
        <v>0</v>
      </c>
      <c r="E9" s="8">
        <f>SUMIFS(
    Sales_Raw_Opportunities!F:F,
    Sales_Raw_Opportunities!I:I,"Lost")</f>
        <v>355000</v>
      </c>
      <c r="F9" s="8">
        <f>COUNTIFS(Sales_Stage_Details!A5:A193,"Lost",Sales_Stage_Details!B5:B193,"This Week")</f>
        <v>0</v>
      </c>
      <c r="G9" s="8">
        <f>SUMIFS(Sales_Stage_Details!E5:E193,Sales_Stage_Details!A5:A193,"Lost",Sales_Stage_Details!B5:B193,"This Week")</f>
        <v>0</v>
      </c>
      <c r="H9" s="22"/>
      <c r="I9" s="22"/>
    </row>
    <row r="12" spans="1:9" x14ac:dyDescent="0.3">
      <c r="A12" s="44" t="s">
        <v>142</v>
      </c>
      <c r="B12" s="44"/>
      <c r="C12" s="44"/>
      <c r="D12" s="44"/>
      <c r="E12" s="44"/>
      <c r="F12" s="44"/>
      <c r="G12" s="44"/>
      <c r="H12" s="44"/>
      <c r="I12" s="44"/>
    </row>
  </sheetData>
  <mergeCells count="2">
    <mergeCell ref="A2:I2"/>
    <mergeCell ref="A12:I1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J49"/>
  <sheetViews>
    <sheetView zoomScaleNormal="100" workbookViewId="0">
      <pane ySplit="3" topLeftCell="A7" activePane="bottomLeft" state="frozen"/>
      <selection pane="bottomLeft" activeCell="F7" sqref="F7:F26"/>
    </sheetView>
  </sheetViews>
  <sheetFormatPr defaultColWidth="8.6640625" defaultRowHeight="14.4" x14ac:dyDescent="0.3"/>
  <cols>
    <col min="1" max="1" width="22" style="36" customWidth="1"/>
    <col min="2" max="2" width="36" customWidth="1"/>
    <col min="3" max="3" width="16" customWidth="1"/>
    <col min="4" max="5" width="14" style="32" customWidth="1"/>
    <col min="6" max="6" width="16" customWidth="1"/>
    <col min="7" max="7" width="15.77734375" bestFit="1" customWidth="1"/>
    <col min="8" max="8" width="18" customWidth="1"/>
    <col min="9" max="9" width="18" style="34" customWidth="1"/>
    <col min="10" max="10" width="28" customWidth="1"/>
  </cols>
  <sheetData>
    <row r="1" spans="1:10" ht="25.5" customHeight="1" x14ac:dyDescent="0.4">
      <c r="A1" s="27" t="s">
        <v>143</v>
      </c>
      <c r="B1" s="27"/>
      <c r="C1" s="27"/>
      <c r="D1" s="27"/>
      <c r="E1" s="27"/>
      <c r="F1" s="27"/>
      <c r="G1" s="27"/>
      <c r="H1" s="27"/>
      <c r="I1" s="27"/>
      <c r="J1" s="27"/>
    </row>
    <row r="2" spans="1:10" x14ac:dyDescent="0.3">
      <c r="A2" s="28" t="s">
        <v>144</v>
      </c>
      <c r="B2" s="28"/>
      <c r="C2" s="28"/>
      <c r="D2" s="28"/>
      <c r="E2" s="28"/>
      <c r="F2" s="28"/>
      <c r="G2" s="28"/>
      <c r="H2" s="28"/>
      <c r="I2" s="28"/>
      <c r="J2" s="28"/>
    </row>
    <row r="3" spans="1:10" ht="21.75" customHeight="1" x14ac:dyDescent="0.3">
      <c r="A3" s="1" t="s">
        <v>103</v>
      </c>
      <c r="B3" s="1" t="s">
        <v>145</v>
      </c>
      <c r="C3" s="1" t="s">
        <v>146</v>
      </c>
      <c r="D3" s="29" t="s">
        <v>147</v>
      </c>
      <c r="E3" s="39" t="s">
        <v>279</v>
      </c>
      <c r="F3" s="1" t="s">
        <v>131</v>
      </c>
      <c r="G3" s="1" t="s">
        <v>148</v>
      </c>
      <c r="H3" s="1" t="s">
        <v>149</v>
      </c>
      <c r="I3" s="1" t="s">
        <v>150</v>
      </c>
      <c r="J3" s="1" t="s">
        <v>23</v>
      </c>
    </row>
    <row r="4" spans="1:10" ht="26.4" hidden="1" x14ac:dyDescent="0.3">
      <c r="A4" s="17" t="s">
        <v>123</v>
      </c>
      <c r="B4" s="18" t="s">
        <v>253</v>
      </c>
      <c r="C4" s="22" t="s">
        <v>274</v>
      </c>
      <c r="D4" s="30">
        <v>45894</v>
      </c>
      <c r="E4" s="30"/>
      <c r="F4" s="11">
        <v>45000</v>
      </c>
      <c r="G4" s="23">
        <v>0</v>
      </c>
      <c r="H4" s="12">
        <f>IF(AND(ISNUMBER(F4),ISNUMBER(G4)),F4*G4,"")</f>
        <v>0</v>
      </c>
      <c r="I4" s="17" t="s">
        <v>158</v>
      </c>
      <c r="J4" s="18"/>
    </row>
    <row r="5" spans="1:10" hidden="1" x14ac:dyDescent="0.3">
      <c r="A5" s="17" t="s">
        <v>123</v>
      </c>
      <c r="B5" s="18" t="s">
        <v>254</v>
      </c>
      <c r="C5" s="22" t="s">
        <v>274</v>
      </c>
      <c r="D5" s="30">
        <v>45988</v>
      </c>
      <c r="E5" s="30"/>
      <c r="F5" s="11">
        <v>140000</v>
      </c>
      <c r="G5" s="23">
        <v>0</v>
      </c>
      <c r="H5" s="12">
        <f>IF(AND(ISNUMBER(F5),ISNUMBER(G5)),F5*G5,"")</f>
        <v>0</v>
      </c>
      <c r="I5" s="17" t="s">
        <v>158</v>
      </c>
      <c r="J5" s="18"/>
    </row>
    <row r="6" spans="1:10" hidden="1" x14ac:dyDescent="0.3">
      <c r="A6" s="17" t="s">
        <v>238</v>
      </c>
      <c r="B6" s="18" t="s">
        <v>254</v>
      </c>
      <c r="C6" s="22" t="s">
        <v>274</v>
      </c>
      <c r="D6" s="30">
        <v>45935</v>
      </c>
      <c r="E6" s="30"/>
      <c r="F6" s="11">
        <v>400000</v>
      </c>
      <c r="G6" s="23">
        <v>0.3</v>
      </c>
      <c r="H6" s="12">
        <f>IF(AND(ISNUMBER(F6),ISNUMBER(G6)),F6*G6,"")</f>
        <v>120000</v>
      </c>
      <c r="I6" s="17" t="s">
        <v>275</v>
      </c>
      <c r="J6" s="18"/>
    </row>
    <row r="7" spans="1:10" ht="26.4" x14ac:dyDescent="0.3">
      <c r="A7" s="17" t="s">
        <v>109</v>
      </c>
      <c r="B7" s="18" t="s">
        <v>255</v>
      </c>
      <c r="C7" s="22" t="s">
        <v>274</v>
      </c>
      <c r="D7" s="30">
        <v>46000</v>
      </c>
      <c r="E7" s="30"/>
      <c r="F7" s="11">
        <v>500000</v>
      </c>
      <c r="G7" s="23">
        <v>0.85</v>
      </c>
      <c r="H7" s="12">
        <f>IF(AND(ISNUMBER(F7),ISNUMBER(G7)),F7*G7,"")</f>
        <v>425000</v>
      </c>
      <c r="I7" s="17" t="s">
        <v>147</v>
      </c>
      <c r="J7" s="18" t="s">
        <v>277</v>
      </c>
    </row>
    <row r="8" spans="1:10" x14ac:dyDescent="0.3">
      <c r="A8" s="17" t="s">
        <v>239</v>
      </c>
      <c r="B8" s="18" t="s">
        <v>256</v>
      </c>
      <c r="C8" s="22" t="s">
        <v>274</v>
      </c>
      <c r="D8" s="30">
        <v>46083</v>
      </c>
      <c r="E8" s="30"/>
      <c r="F8" s="11">
        <v>100000</v>
      </c>
      <c r="G8" s="23">
        <v>0.5</v>
      </c>
      <c r="H8" s="12">
        <f>F8*G8</f>
        <v>50000</v>
      </c>
      <c r="I8" s="17" t="s">
        <v>147</v>
      </c>
      <c r="J8" s="18"/>
    </row>
    <row r="9" spans="1:10" x14ac:dyDescent="0.3">
      <c r="A9" s="17" t="s">
        <v>107</v>
      </c>
      <c r="B9" s="18" t="s">
        <v>257</v>
      </c>
      <c r="C9" s="22" t="s">
        <v>274</v>
      </c>
      <c r="D9" s="30">
        <v>46054</v>
      </c>
      <c r="E9" s="30"/>
      <c r="F9" s="11">
        <v>500000</v>
      </c>
      <c r="G9" s="23">
        <v>0.5</v>
      </c>
      <c r="H9" s="12">
        <f>F9*G9</f>
        <v>250000</v>
      </c>
      <c r="I9" s="17" t="s">
        <v>147</v>
      </c>
      <c r="J9" s="18"/>
    </row>
    <row r="10" spans="1:10" hidden="1" x14ac:dyDescent="0.3">
      <c r="A10" s="17" t="s">
        <v>240</v>
      </c>
      <c r="B10" s="18" t="s">
        <v>258</v>
      </c>
      <c r="C10" s="22" t="s">
        <v>274</v>
      </c>
      <c r="D10" s="30">
        <v>45991</v>
      </c>
      <c r="E10" s="30"/>
      <c r="F10" s="11">
        <v>70000</v>
      </c>
      <c r="G10" s="23">
        <v>0</v>
      </c>
      <c r="H10" s="12">
        <f>IF(AND(ISNUMBER(F10),ISNUMBER(G10)),F10*G10,"")</f>
        <v>0</v>
      </c>
      <c r="I10" s="17" t="s">
        <v>158</v>
      </c>
      <c r="J10" s="18"/>
    </row>
    <row r="11" spans="1:10" hidden="1" x14ac:dyDescent="0.3">
      <c r="A11" s="17" t="s">
        <v>241</v>
      </c>
      <c r="B11" s="18" t="s">
        <v>259</v>
      </c>
      <c r="C11" s="22" t="s">
        <v>274</v>
      </c>
      <c r="D11" s="30">
        <v>46015</v>
      </c>
      <c r="E11" s="30"/>
      <c r="F11" s="11">
        <v>100000</v>
      </c>
      <c r="G11" s="23">
        <v>0</v>
      </c>
      <c r="H11" s="12">
        <f>IF(AND(ISNUMBER(F11),ISNUMBER(G11)),F11*G11,"")</f>
        <v>0</v>
      </c>
      <c r="I11" s="17" t="s">
        <v>158</v>
      </c>
      <c r="J11" s="18"/>
    </row>
    <row r="12" spans="1:10" ht="26.4" hidden="1" x14ac:dyDescent="0.3">
      <c r="A12" s="17" t="s">
        <v>242</v>
      </c>
      <c r="B12" s="18" t="s">
        <v>260</v>
      </c>
      <c r="C12" s="22" t="s">
        <v>274</v>
      </c>
      <c r="D12" s="30">
        <v>45942</v>
      </c>
      <c r="E12" s="30"/>
      <c r="F12" s="11">
        <v>68000</v>
      </c>
      <c r="G12" s="23">
        <v>0.5</v>
      </c>
      <c r="H12" s="12">
        <f>F12*G12</f>
        <v>34000</v>
      </c>
      <c r="I12" s="17" t="s">
        <v>276</v>
      </c>
      <c r="J12" s="18"/>
    </row>
    <row r="13" spans="1:10" hidden="1" x14ac:dyDescent="0.3">
      <c r="A13" s="17" t="s">
        <v>242</v>
      </c>
      <c r="B13" s="18" t="s">
        <v>261</v>
      </c>
      <c r="C13" s="22" t="s">
        <v>274</v>
      </c>
      <c r="D13" s="30">
        <v>46120</v>
      </c>
      <c r="E13" s="30"/>
      <c r="F13" s="11">
        <v>20000</v>
      </c>
      <c r="G13" s="23">
        <v>0.8</v>
      </c>
      <c r="H13" s="12">
        <f>F13*G13</f>
        <v>16000</v>
      </c>
      <c r="I13" s="17" t="s">
        <v>275</v>
      </c>
      <c r="J13" s="18"/>
    </row>
    <row r="14" spans="1:10" hidden="1" x14ac:dyDescent="0.3">
      <c r="A14" s="17" t="s">
        <v>243</v>
      </c>
      <c r="B14" s="18" t="s">
        <v>254</v>
      </c>
      <c r="C14" s="22" t="s">
        <v>274</v>
      </c>
      <c r="D14" s="30">
        <v>45922</v>
      </c>
      <c r="E14" s="30"/>
      <c r="F14" s="11">
        <v>75000</v>
      </c>
      <c r="G14" s="23">
        <v>0</v>
      </c>
      <c r="H14" s="12">
        <f>F14*G14</f>
        <v>0</v>
      </c>
      <c r="I14" s="17" t="s">
        <v>157</v>
      </c>
      <c r="J14" s="18"/>
    </row>
    <row r="15" spans="1:10" ht="26.4" hidden="1" x14ac:dyDescent="0.3">
      <c r="A15" s="17" t="s">
        <v>244</v>
      </c>
      <c r="B15" s="18" t="s">
        <v>262</v>
      </c>
      <c r="C15" s="22" t="s">
        <v>274</v>
      </c>
      <c r="D15" s="30">
        <v>45890</v>
      </c>
      <c r="E15" s="30"/>
      <c r="F15" s="11">
        <v>0</v>
      </c>
      <c r="G15" s="23">
        <v>0.5</v>
      </c>
      <c r="H15" s="12">
        <f>F15*G15</f>
        <v>0</v>
      </c>
      <c r="I15" s="17" t="s">
        <v>288</v>
      </c>
      <c r="J15" s="18"/>
    </row>
    <row r="16" spans="1:10" hidden="1" x14ac:dyDescent="0.3">
      <c r="A16" s="17" t="s">
        <v>244</v>
      </c>
      <c r="B16" s="18" t="s">
        <v>263</v>
      </c>
      <c r="C16" s="22" t="s">
        <v>274</v>
      </c>
      <c r="D16" s="30">
        <v>46047</v>
      </c>
      <c r="E16" s="30"/>
      <c r="F16" s="11">
        <v>90000</v>
      </c>
      <c r="G16" s="23">
        <v>0.5</v>
      </c>
      <c r="H16" s="12">
        <f>IF(AND(ISNUMBER(F16),ISNUMBER(G16)),F16*G16,"")</f>
        <v>45000</v>
      </c>
      <c r="I16" s="17" t="s">
        <v>288</v>
      </c>
      <c r="J16" s="18"/>
    </row>
    <row r="17" spans="1:10" hidden="1" x14ac:dyDescent="0.3">
      <c r="A17" s="17" t="s">
        <v>244</v>
      </c>
      <c r="B17" s="18" t="s">
        <v>264</v>
      </c>
      <c r="C17" s="22" t="s">
        <v>274</v>
      </c>
      <c r="D17" s="30">
        <v>45958</v>
      </c>
      <c r="E17" s="30"/>
      <c r="F17" s="11">
        <v>60000</v>
      </c>
      <c r="G17" s="23">
        <v>0.5</v>
      </c>
      <c r="H17" s="12">
        <f>F17*G17</f>
        <v>30000</v>
      </c>
      <c r="I17" s="17" t="s">
        <v>288</v>
      </c>
      <c r="J17" s="18"/>
    </row>
    <row r="18" spans="1:10" ht="39.6" hidden="1" x14ac:dyDescent="0.3">
      <c r="A18" s="17" t="s">
        <v>245</v>
      </c>
      <c r="B18" s="18" t="s">
        <v>265</v>
      </c>
      <c r="C18" s="22" t="s">
        <v>274</v>
      </c>
      <c r="D18" s="30">
        <v>46091</v>
      </c>
      <c r="E18" s="30"/>
      <c r="F18" s="11">
        <v>0</v>
      </c>
      <c r="G18" s="23">
        <v>0.5</v>
      </c>
      <c r="H18" s="12">
        <f>F18*G18</f>
        <v>0</v>
      </c>
      <c r="I18" s="17" t="s">
        <v>157</v>
      </c>
      <c r="J18" s="18" t="s">
        <v>278</v>
      </c>
    </row>
    <row r="19" spans="1:10" hidden="1" x14ac:dyDescent="0.3">
      <c r="A19" s="17" t="s">
        <v>123</v>
      </c>
      <c r="B19" s="18" t="s">
        <v>266</v>
      </c>
      <c r="C19" s="22" t="s">
        <v>274</v>
      </c>
      <c r="D19" s="30">
        <v>46040</v>
      </c>
      <c r="E19" s="30">
        <v>46055</v>
      </c>
      <c r="F19" s="11">
        <v>30000</v>
      </c>
      <c r="G19" s="23">
        <v>1</v>
      </c>
      <c r="H19" s="12">
        <f>IF(AND(ISNUMBER(F19),ISNUMBER(G19)),F19*G19,"")</f>
        <v>30000</v>
      </c>
      <c r="I19" s="17" t="s">
        <v>157</v>
      </c>
      <c r="J19" s="18"/>
    </row>
    <row r="20" spans="1:10" hidden="1" x14ac:dyDescent="0.3">
      <c r="A20" s="17" t="s">
        <v>246</v>
      </c>
      <c r="B20" s="18" t="s">
        <v>267</v>
      </c>
      <c r="C20" s="22" t="s">
        <v>274</v>
      </c>
      <c r="D20" s="30"/>
      <c r="E20" s="30"/>
      <c r="F20" s="11">
        <v>500000</v>
      </c>
      <c r="G20" s="23">
        <v>0.4</v>
      </c>
      <c r="H20" s="12">
        <f>F20*G20</f>
        <v>200000</v>
      </c>
      <c r="I20" s="17" t="s">
        <v>275</v>
      </c>
      <c r="J20" s="18"/>
    </row>
    <row r="21" spans="1:10" hidden="1" x14ac:dyDescent="0.3">
      <c r="A21" s="17" t="s">
        <v>247</v>
      </c>
      <c r="B21" s="18" t="s">
        <v>268</v>
      </c>
      <c r="C21" s="22" t="s">
        <v>274</v>
      </c>
      <c r="D21" s="30"/>
      <c r="E21" s="30"/>
      <c r="F21" s="11">
        <v>700000</v>
      </c>
      <c r="G21" s="23">
        <v>0.5</v>
      </c>
      <c r="H21" s="12">
        <f t="shared" ref="H21:H49" si="0">IF(AND(ISNUMBER(F21),ISNUMBER(G21)),F21*G21,"")</f>
        <v>350000</v>
      </c>
      <c r="I21" s="17" t="s">
        <v>275</v>
      </c>
      <c r="J21" s="18"/>
    </row>
    <row r="22" spans="1:10" hidden="1" x14ac:dyDescent="0.3">
      <c r="A22" s="17" t="s">
        <v>248</v>
      </c>
      <c r="B22" s="18" t="s">
        <v>269</v>
      </c>
      <c r="C22" s="22" t="s">
        <v>274</v>
      </c>
      <c r="D22" s="30" t="s">
        <v>287</v>
      </c>
      <c r="E22" s="30"/>
      <c r="F22" s="11">
        <v>60000</v>
      </c>
      <c r="G22" s="23">
        <v>0.6</v>
      </c>
      <c r="H22" s="12">
        <f t="shared" si="0"/>
        <v>36000</v>
      </c>
      <c r="I22" s="17" t="s">
        <v>157</v>
      </c>
      <c r="J22" s="18"/>
    </row>
    <row r="23" spans="1:10" hidden="1" x14ac:dyDescent="0.3">
      <c r="A23" s="17" t="s">
        <v>249</v>
      </c>
      <c r="B23" s="18" t="s">
        <v>270</v>
      </c>
      <c r="C23" s="22" t="s">
        <v>274</v>
      </c>
      <c r="D23" s="30"/>
      <c r="E23" s="30"/>
      <c r="F23" s="11">
        <v>200000</v>
      </c>
      <c r="G23" s="23">
        <v>0.3</v>
      </c>
      <c r="H23" s="12">
        <f t="shared" si="0"/>
        <v>60000</v>
      </c>
      <c r="I23" s="17" t="s">
        <v>275</v>
      </c>
      <c r="J23" s="18"/>
    </row>
    <row r="24" spans="1:10" hidden="1" x14ac:dyDescent="0.3">
      <c r="A24" s="17" t="s">
        <v>250</v>
      </c>
      <c r="B24" s="18" t="s">
        <v>271</v>
      </c>
      <c r="C24" s="22" t="s">
        <v>274</v>
      </c>
      <c r="D24" s="30"/>
      <c r="E24" s="30"/>
      <c r="F24" s="11">
        <v>100000</v>
      </c>
      <c r="G24" s="23">
        <v>0.3</v>
      </c>
      <c r="H24" s="12">
        <f t="shared" si="0"/>
        <v>30000</v>
      </c>
      <c r="I24" s="17" t="s">
        <v>275</v>
      </c>
      <c r="J24" s="18"/>
    </row>
    <row r="25" spans="1:10" x14ac:dyDescent="0.3">
      <c r="A25" s="17" t="s">
        <v>251</v>
      </c>
      <c r="B25" s="18" t="s">
        <v>272</v>
      </c>
      <c r="C25" s="22" t="s">
        <v>274</v>
      </c>
      <c r="D25" s="30"/>
      <c r="E25" s="30"/>
      <c r="F25" s="11">
        <v>180000</v>
      </c>
      <c r="G25" s="23">
        <v>0.6</v>
      </c>
      <c r="H25" s="12">
        <f t="shared" si="0"/>
        <v>108000</v>
      </c>
      <c r="I25" s="17" t="s">
        <v>147</v>
      </c>
      <c r="J25" s="18"/>
    </row>
    <row r="26" spans="1:10" x14ac:dyDescent="0.3">
      <c r="A26" s="17" t="s">
        <v>252</v>
      </c>
      <c r="B26" s="18" t="s">
        <v>273</v>
      </c>
      <c r="C26" s="22" t="s">
        <v>274</v>
      </c>
      <c r="D26" s="30">
        <v>46131</v>
      </c>
      <c r="E26" s="30"/>
      <c r="F26" s="11">
        <v>85000</v>
      </c>
      <c r="G26" s="23">
        <v>0.8</v>
      </c>
      <c r="H26" s="12">
        <f t="shared" si="0"/>
        <v>68000</v>
      </c>
      <c r="I26" s="17" t="s">
        <v>147</v>
      </c>
      <c r="J26" s="18"/>
    </row>
    <row r="27" spans="1:10" hidden="1" x14ac:dyDescent="0.3">
      <c r="A27" s="35" t="s">
        <v>212</v>
      </c>
      <c r="B27" s="24" t="s">
        <v>218</v>
      </c>
      <c r="C27" s="24"/>
      <c r="D27" s="31"/>
      <c r="E27" s="31"/>
      <c r="F27" s="25"/>
      <c r="G27" s="26"/>
      <c r="H27" s="11">
        <v>70000</v>
      </c>
      <c r="I27" s="33" t="s">
        <v>155</v>
      </c>
      <c r="J27" s="24"/>
    </row>
    <row r="28" spans="1:10" hidden="1" x14ac:dyDescent="0.3">
      <c r="A28" s="35" t="s">
        <v>213</v>
      </c>
      <c r="B28" s="24" t="s">
        <v>219</v>
      </c>
      <c r="C28" s="24"/>
      <c r="D28" s="31"/>
      <c r="E28" s="31"/>
      <c r="F28" s="25"/>
      <c r="G28" s="26"/>
      <c r="H28" s="11">
        <v>50000</v>
      </c>
      <c r="I28" s="33" t="s">
        <v>155</v>
      </c>
      <c r="J28" s="24"/>
    </row>
    <row r="29" spans="1:10" hidden="1" x14ac:dyDescent="0.3">
      <c r="A29" s="35" t="s">
        <v>214</v>
      </c>
      <c r="B29" s="24" t="s">
        <v>220</v>
      </c>
      <c r="C29" s="24"/>
      <c r="D29" s="31"/>
      <c r="E29" s="31"/>
      <c r="F29" s="25"/>
      <c r="G29" s="26"/>
      <c r="H29" s="11">
        <v>50000</v>
      </c>
      <c r="I29" s="33" t="s">
        <v>155</v>
      </c>
      <c r="J29" s="24"/>
    </row>
    <row r="30" spans="1:10" hidden="1" x14ac:dyDescent="0.3">
      <c r="A30" s="35" t="s">
        <v>215</v>
      </c>
      <c r="B30" s="24" t="s">
        <v>221</v>
      </c>
      <c r="C30" s="24"/>
      <c r="D30" s="31"/>
      <c r="E30" s="31"/>
      <c r="F30" s="25"/>
      <c r="G30" s="26"/>
      <c r="H30" s="11">
        <v>10000</v>
      </c>
      <c r="I30" s="33" t="s">
        <v>155</v>
      </c>
      <c r="J30" s="24"/>
    </row>
    <row r="31" spans="1:10" hidden="1" x14ac:dyDescent="0.3">
      <c r="A31" s="35" t="s">
        <v>216</v>
      </c>
      <c r="B31" s="24"/>
      <c r="C31" s="24"/>
      <c r="D31" s="31"/>
      <c r="E31" s="31"/>
      <c r="F31" s="25"/>
      <c r="G31" s="26"/>
      <c r="H31" s="11">
        <v>10000</v>
      </c>
      <c r="I31" s="33" t="s">
        <v>155</v>
      </c>
      <c r="J31" s="24"/>
    </row>
    <row r="32" spans="1:10" hidden="1" x14ac:dyDescent="0.3">
      <c r="A32" s="35" t="s">
        <v>283</v>
      </c>
      <c r="B32" s="24" t="s">
        <v>284</v>
      </c>
      <c r="C32" s="24"/>
      <c r="D32" s="31"/>
      <c r="E32" s="31"/>
      <c r="F32" s="25"/>
      <c r="G32" s="26"/>
      <c r="H32" s="11">
        <v>200000</v>
      </c>
      <c r="I32" s="33" t="s">
        <v>155</v>
      </c>
      <c r="J32" s="24"/>
    </row>
    <row r="33" spans="1:10" hidden="1" x14ac:dyDescent="0.3">
      <c r="A33" s="35" t="s">
        <v>217</v>
      </c>
      <c r="B33" s="24" t="s">
        <v>222</v>
      </c>
      <c r="C33" s="24"/>
      <c r="D33" s="31"/>
      <c r="E33" s="31"/>
      <c r="F33" s="25"/>
      <c r="G33" s="26"/>
      <c r="H33" s="11">
        <v>10000</v>
      </c>
      <c r="I33" s="33" t="s">
        <v>155</v>
      </c>
      <c r="J33" s="24"/>
    </row>
    <row r="34" spans="1:10" hidden="1" x14ac:dyDescent="0.3">
      <c r="A34" s="35" t="s">
        <v>285</v>
      </c>
      <c r="B34" s="24" t="s">
        <v>286</v>
      </c>
      <c r="C34" s="24"/>
      <c r="D34" s="31"/>
      <c r="E34" s="31"/>
      <c r="F34" s="25"/>
      <c r="G34" s="26"/>
      <c r="H34" s="11">
        <v>50000</v>
      </c>
      <c r="I34" s="33" t="s">
        <v>155</v>
      </c>
      <c r="J34" s="24"/>
    </row>
    <row r="35" spans="1:10" hidden="1" x14ac:dyDescent="0.3">
      <c r="A35" s="35"/>
      <c r="B35" s="24"/>
      <c r="C35" s="24"/>
      <c r="D35" s="31"/>
      <c r="E35" s="31"/>
      <c r="F35" s="25"/>
      <c r="G35" s="26"/>
      <c r="H35" s="12" t="str">
        <f t="shared" si="0"/>
        <v/>
      </c>
      <c r="I35" s="33"/>
      <c r="J35" s="24"/>
    </row>
    <row r="36" spans="1:10" hidden="1" x14ac:dyDescent="0.3">
      <c r="A36" s="35"/>
      <c r="B36" s="24"/>
      <c r="C36" s="24"/>
      <c r="D36" s="31"/>
      <c r="E36" s="31"/>
      <c r="F36" s="25"/>
      <c r="G36" s="26"/>
      <c r="H36" s="12" t="str">
        <f t="shared" si="0"/>
        <v/>
      </c>
      <c r="I36" s="33"/>
      <c r="J36" s="24"/>
    </row>
    <row r="37" spans="1:10" hidden="1" x14ac:dyDescent="0.3">
      <c r="A37" s="35"/>
      <c r="B37" s="24"/>
      <c r="C37" s="24"/>
      <c r="D37" s="31"/>
      <c r="E37" s="31"/>
      <c r="F37" s="25"/>
      <c r="G37" s="26"/>
      <c r="H37" s="12" t="str">
        <f t="shared" si="0"/>
        <v/>
      </c>
      <c r="I37" s="33"/>
      <c r="J37" s="24"/>
    </row>
    <row r="38" spans="1:10" hidden="1" x14ac:dyDescent="0.3">
      <c r="A38" s="35"/>
      <c r="B38" s="24"/>
      <c r="C38" s="24"/>
      <c r="D38" s="31"/>
      <c r="E38" s="31"/>
      <c r="F38" s="25"/>
      <c r="G38" s="26"/>
      <c r="H38" s="12" t="str">
        <f t="shared" si="0"/>
        <v/>
      </c>
      <c r="I38" s="33"/>
      <c r="J38" s="24"/>
    </row>
    <row r="39" spans="1:10" hidden="1" x14ac:dyDescent="0.3">
      <c r="A39" s="35"/>
      <c r="B39" s="24"/>
      <c r="C39" s="24"/>
      <c r="D39" s="31"/>
      <c r="E39" s="31"/>
      <c r="F39" s="25"/>
      <c r="G39" s="26"/>
      <c r="H39" s="12" t="str">
        <f t="shared" si="0"/>
        <v/>
      </c>
      <c r="I39" s="33"/>
      <c r="J39" s="24"/>
    </row>
    <row r="40" spans="1:10" hidden="1" x14ac:dyDescent="0.3">
      <c r="A40" s="35"/>
      <c r="B40" s="24"/>
      <c r="C40" s="24"/>
      <c r="D40" s="31"/>
      <c r="E40" s="31"/>
      <c r="F40" s="25"/>
      <c r="G40" s="26"/>
      <c r="H40" s="12" t="str">
        <f t="shared" si="0"/>
        <v/>
      </c>
      <c r="I40" s="33"/>
      <c r="J40" s="24"/>
    </row>
    <row r="41" spans="1:10" hidden="1" x14ac:dyDescent="0.3">
      <c r="A41" s="35"/>
      <c r="B41" s="24"/>
      <c r="C41" s="24"/>
      <c r="D41" s="31"/>
      <c r="E41" s="31"/>
      <c r="F41" s="25"/>
      <c r="G41" s="26"/>
      <c r="H41" s="12" t="str">
        <f t="shared" si="0"/>
        <v/>
      </c>
      <c r="I41" s="33"/>
      <c r="J41" s="24"/>
    </row>
    <row r="42" spans="1:10" hidden="1" x14ac:dyDescent="0.3">
      <c r="A42" s="35"/>
      <c r="B42" s="24"/>
      <c r="C42" s="24"/>
      <c r="D42" s="31"/>
      <c r="E42" s="31"/>
      <c r="F42" s="25"/>
      <c r="G42" s="26"/>
      <c r="H42" s="12" t="str">
        <f t="shared" si="0"/>
        <v/>
      </c>
      <c r="I42" s="33"/>
      <c r="J42" s="24"/>
    </row>
    <row r="43" spans="1:10" hidden="1" x14ac:dyDescent="0.3">
      <c r="A43" s="35"/>
      <c r="B43" s="24"/>
      <c r="C43" s="24"/>
      <c r="D43" s="31"/>
      <c r="E43" s="31"/>
      <c r="F43" s="25"/>
      <c r="G43" s="26"/>
      <c r="H43" s="12" t="str">
        <f t="shared" si="0"/>
        <v/>
      </c>
      <c r="I43" s="33"/>
      <c r="J43" s="24"/>
    </row>
    <row r="44" spans="1:10" hidden="1" x14ac:dyDescent="0.3">
      <c r="A44" s="35"/>
      <c r="B44" s="24"/>
      <c r="C44" s="24"/>
      <c r="D44" s="31"/>
      <c r="E44" s="31"/>
      <c r="F44" s="25"/>
      <c r="G44" s="26"/>
      <c r="H44" s="12" t="str">
        <f t="shared" si="0"/>
        <v/>
      </c>
      <c r="I44" s="33"/>
      <c r="J44" s="24"/>
    </row>
    <row r="45" spans="1:10" hidden="1" x14ac:dyDescent="0.3">
      <c r="A45" s="35"/>
      <c r="B45" s="24"/>
      <c r="C45" s="24"/>
      <c r="D45" s="31"/>
      <c r="E45" s="31"/>
      <c r="F45" s="25"/>
      <c r="G45" s="26"/>
      <c r="H45" s="12" t="str">
        <f t="shared" si="0"/>
        <v/>
      </c>
      <c r="I45" s="33"/>
      <c r="J45" s="24"/>
    </row>
    <row r="46" spans="1:10" hidden="1" x14ac:dyDescent="0.3">
      <c r="A46" s="35"/>
      <c r="B46" s="24"/>
      <c r="C46" s="24"/>
      <c r="D46" s="31"/>
      <c r="E46" s="31"/>
      <c r="F46" s="25"/>
      <c r="G46" s="26"/>
      <c r="H46" s="12" t="str">
        <f t="shared" si="0"/>
        <v/>
      </c>
      <c r="I46" s="33"/>
      <c r="J46" s="24"/>
    </row>
    <row r="47" spans="1:10" hidden="1" x14ac:dyDescent="0.3">
      <c r="A47" s="35"/>
      <c r="B47" s="24"/>
      <c r="C47" s="24"/>
      <c r="D47" s="31"/>
      <c r="E47" s="31"/>
      <c r="F47" s="25"/>
      <c r="G47" s="26"/>
      <c r="H47" s="12" t="str">
        <f t="shared" si="0"/>
        <v/>
      </c>
      <c r="I47" s="33"/>
      <c r="J47" s="24"/>
    </row>
    <row r="48" spans="1:10" hidden="1" x14ac:dyDescent="0.3">
      <c r="A48" s="35"/>
      <c r="B48" s="24"/>
      <c r="C48" s="24"/>
      <c r="D48" s="31"/>
      <c r="E48" s="31"/>
      <c r="F48" s="25"/>
      <c r="G48" s="26"/>
      <c r="H48" s="12" t="str">
        <f t="shared" si="0"/>
        <v/>
      </c>
      <c r="I48" s="33"/>
      <c r="J48" s="24"/>
    </row>
    <row r="49" spans="1:10" hidden="1" x14ac:dyDescent="0.3">
      <c r="A49" s="35"/>
      <c r="B49" s="24"/>
      <c r="C49" s="24"/>
      <c r="D49" s="31"/>
      <c r="E49" s="31"/>
      <c r="F49" s="25"/>
      <c r="G49" s="26"/>
      <c r="H49" s="12" t="str">
        <f t="shared" si="0"/>
        <v/>
      </c>
      <c r="I49" s="33"/>
      <c r="J49" s="24"/>
    </row>
  </sheetData>
  <autoFilter ref="A3:J49" xr:uid="{00000000-0001-0000-0500-000000000000}">
    <filterColumn colId="8">
      <filters>
        <filter val="Submitted"/>
      </filters>
    </filterColumn>
  </autoFilter>
  <dataValidations count="2">
    <dataValidation type="list" allowBlank="1" errorTitle="Invalid stage" error="Stage must be one of: Lead, Active Proposal, Submitted, Won, Lost" sqref="I4:I9 I11:I15 I17:I20 I22:I999" xr:uid="{00000000-0002-0000-0500-000000000000}">
      <formula1>"Lead,Active Proposal,Submitted,Won,Lost"</formula1>
      <formula2>0</formula2>
    </dataValidation>
    <dataValidation type="list" allowBlank="1" errorTitle="Invalid stage" error="Stage must be one of: Lead, Active Proposal, Submitted, Won, Lost" sqref="I10 I16 I21" xr:uid="{7731FE66-0436-4890-9B53-656F7C70B5F1}">
      <formula1>"Lead,Active Proposal,Submitted,Won,Lost,On Hold"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2"/>
  <sheetViews>
    <sheetView zoomScaleNormal="100" workbookViewId="0">
      <pane ySplit="4" topLeftCell="A5" activePane="bottomLeft" state="frozen"/>
      <selection pane="bottomLeft" activeCell="E5" sqref="E5:E12"/>
    </sheetView>
  </sheetViews>
  <sheetFormatPr defaultColWidth="8.6640625" defaultRowHeight="14.4" x14ac:dyDescent="0.3"/>
  <cols>
    <col min="1" max="1" width="18" customWidth="1"/>
    <col min="2" max="2" width="14" customWidth="1"/>
    <col min="3" max="3" width="22" customWidth="1"/>
    <col min="4" max="4" width="32" customWidth="1"/>
    <col min="5" max="5" width="16.44140625" customWidth="1"/>
    <col min="6" max="6" width="16" customWidth="1"/>
    <col min="7" max="7" width="28" customWidth="1"/>
  </cols>
  <sheetData>
    <row r="1" spans="1:7" ht="25.5" customHeight="1" x14ac:dyDescent="0.4">
      <c r="A1" s="50" t="s">
        <v>151</v>
      </c>
      <c r="B1" s="50"/>
      <c r="C1" s="50"/>
      <c r="D1" s="50"/>
      <c r="E1" s="50"/>
      <c r="F1" s="50"/>
      <c r="G1" s="50"/>
    </row>
    <row r="2" spans="1:7" x14ac:dyDescent="0.3">
      <c r="A2" s="43" t="s">
        <v>152</v>
      </c>
      <c r="B2" s="43"/>
      <c r="C2" s="43"/>
      <c r="D2" s="43"/>
      <c r="E2" s="43"/>
      <c r="F2" s="43"/>
      <c r="G2" s="43"/>
    </row>
    <row r="4" spans="1:7" ht="21.75" customHeight="1" x14ac:dyDescent="0.3">
      <c r="A4" s="1" t="s">
        <v>150</v>
      </c>
      <c r="B4" s="1" t="s">
        <v>153</v>
      </c>
      <c r="C4" s="1" t="s">
        <v>103</v>
      </c>
      <c r="D4" s="1" t="s">
        <v>145</v>
      </c>
      <c r="E4" s="1" t="s">
        <v>223</v>
      </c>
      <c r="F4" s="1" t="s">
        <v>154</v>
      </c>
      <c r="G4" s="1" t="s">
        <v>23</v>
      </c>
    </row>
    <row r="5" spans="1:7" ht="26.4" x14ac:dyDescent="0.3">
      <c r="A5" s="17" t="s">
        <v>155</v>
      </c>
      <c r="B5" s="17" t="s">
        <v>156</v>
      </c>
      <c r="C5" s="22" t="s">
        <v>212</v>
      </c>
      <c r="D5" s="18" t="s">
        <v>218</v>
      </c>
      <c r="E5" s="11">
        <v>70000</v>
      </c>
      <c r="F5" s="22"/>
      <c r="G5" s="18"/>
    </row>
    <row r="6" spans="1:7" ht="26.4" x14ac:dyDescent="0.3">
      <c r="A6" s="17" t="s">
        <v>155</v>
      </c>
      <c r="B6" s="17" t="s">
        <v>156</v>
      </c>
      <c r="C6" s="22" t="s">
        <v>213</v>
      </c>
      <c r="D6" s="18" t="s">
        <v>219</v>
      </c>
      <c r="E6" s="11">
        <v>50000</v>
      </c>
      <c r="F6" s="22"/>
      <c r="G6" s="18"/>
    </row>
    <row r="7" spans="1:7" ht="26.4" x14ac:dyDescent="0.3">
      <c r="A7" s="17" t="s">
        <v>155</v>
      </c>
      <c r="B7" s="17" t="s">
        <v>156</v>
      </c>
      <c r="C7" s="22" t="s">
        <v>214</v>
      </c>
      <c r="D7" s="18" t="s">
        <v>220</v>
      </c>
      <c r="E7" s="11">
        <v>50000</v>
      </c>
      <c r="F7" s="22"/>
      <c r="G7" s="18"/>
    </row>
    <row r="8" spans="1:7" ht="26.4" x14ac:dyDescent="0.3">
      <c r="A8" s="17" t="s">
        <v>155</v>
      </c>
      <c r="B8" s="17" t="s">
        <v>156</v>
      </c>
      <c r="C8" s="22" t="s">
        <v>215</v>
      </c>
      <c r="D8" s="18" t="s">
        <v>221</v>
      </c>
      <c r="E8" s="11">
        <v>10000</v>
      </c>
      <c r="F8" s="22"/>
      <c r="G8" s="18"/>
    </row>
    <row r="9" spans="1:7" x14ac:dyDescent="0.3">
      <c r="A9" s="17" t="s">
        <v>155</v>
      </c>
      <c r="B9" s="17" t="s">
        <v>156</v>
      </c>
      <c r="C9" s="22" t="s">
        <v>216</v>
      </c>
      <c r="D9" s="18"/>
      <c r="E9" s="11">
        <v>10000</v>
      </c>
      <c r="F9" s="22"/>
      <c r="G9" s="18"/>
    </row>
    <row r="10" spans="1:7" x14ac:dyDescent="0.3">
      <c r="A10" s="17" t="s">
        <v>155</v>
      </c>
      <c r="B10" s="17" t="s">
        <v>156</v>
      </c>
      <c r="C10" s="22" t="s">
        <v>283</v>
      </c>
      <c r="D10" s="18" t="s">
        <v>284</v>
      </c>
      <c r="E10" s="11">
        <v>200000</v>
      </c>
      <c r="F10" s="22"/>
      <c r="G10" s="18"/>
    </row>
    <row r="11" spans="1:7" ht="26.4" x14ac:dyDescent="0.3">
      <c r="A11" s="17" t="s">
        <v>155</v>
      </c>
      <c r="B11" s="17" t="s">
        <v>156</v>
      </c>
      <c r="C11" s="22" t="s">
        <v>217</v>
      </c>
      <c r="D11" s="18" t="s">
        <v>222</v>
      </c>
      <c r="E11" s="11">
        <v>10000</v>
      </c>
      <c r="F11" s="22"/>
      <c r="G11" s="18"/>
    </row>
    <row r="12" spans="1:7" x14ac:dyDescent="0.3">
      <c r="A12" s="17" t="s">
        <v>155</v>
      </c>
      <c r="B12" s="17" t="s">
        <v>156</v>
      </c>
      <c r="C12" s="22" t="s">
        <v>285</v>
      </c>
      <c r="D12" s="18" t="s">
        <v>286</v>
      </c>
      <c r="E12" s="11">
        <v>50000</v>
      </c>
      <c r="F12" s="22"/>
      <c r="G12" s="18"/>
    </row>
  </sheetData>
  <mergeCells count="2">
    <mergeCell ref="A1:G1"/>
    <mergeCell ref="A2:G2"/>
  </mergeCells>
  <dataValidations count="2">
    <dataValidation type="list" allowBlank="1" errorTitle="Invalid stage" error="Stage must be one of: Lead, Active Proposal, Submitted, Won, Lost" sqref="A5:A193" xr:uid="{00000000-0002-0000-0600-000000000000}">
      <formula1>"Lead,Active Proposal,Submitted,Won,Lost"</formula1>
      <formula2>0</formula2>
    </dataValidation>
    <dataValidation type="list" allowBlank="1" errorTitle="Invalid period" error="Period must be 'This Week' or 'This Month'" sqref="B5:B193" xr:uid="{00000000-0002-0000-0600-000001000000}">
      <formula1>"This Week,This Month"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7"/>
  <sheetViews>
    <sheetView tabSelected="1" zoomScaleNormal="100" workbookViewId="0">
      <pane ySplit="3" topLeftCell="A4" activePane="bottomLeft" state="frozen"/>
      <selection pane="bottomLeft" activeCell="C8" sqref="C8"/>
    </sheetView>
  </sheetViews>
  <sheetFormatPr defaultColWidth="8.6640625" defaultRowHeight="14.4" x14ac:dyDescent="0.3"/>
  <cols>
    <col min="1" max="1" width="36" customWidth="1"/>
    <col min="2" max="2" width="18" customWidth="1"/>
    <col min="3" max="3" width="14" customWidth="1"/>
  </cols>
  <sheetData>
    <row r="1" spans="1:3" ht="25.5" customHeight="1" x14ac:dyDescent="0.4">
      <c r="A1" s="50" t="s">
        <v>159</v>
      </c>
      <c r="B1" s="50"/>
      <c r="C1" s="50"/>
    </row>
    <row r="2" spans="1:3" x14ac:dyDescent="0.3">
      <c r="A2" s="43" t="s">
        <v>160</v>
      </c>
      <c r="B2" s="43"/>
      <c r="C2" s="43"/>
    </row>
    <row r="3" spans="1:3" ht="21.75" customHeight="1" x14ac:dyDescent="0.3">
      <c r="A3" s="1" t="s">
        <v>161</v>
      </c>
      <c r="B3" s="1" t="s">
        <v>162</v>
      </c>
      <c r="C3" s="1" t="s">
        <v>163</v>
      </c>
    </row>
    <row r="4" spans="1:3" x14ac:dyDescent="0.3">
      <c r="A4" s="18" t="s">
        <v>224</v>
      </c>
      <c r="B4" s="17" t="s">
        <v>164</v>
      </c>
      <c r="C4" s="23">
        <v>1</v>
      </c>
    </row>
    <row r="5" spans="1:3" x14ac:dyDescent="0.3">
      <c r="A5" s="18" t="s">
        <v>225</v>
      </c>
      <c r="B5" s="17" t="s">
        <v>164</v>
      </c>
      <c r="C5" s="23">
        <v>1</v>
      </c>
    </row>
    <row r="6" spans="1:3" x14ac:dyDescent="0.3">
      <c r="A6" s="18" t="s">
        <v>226</v>
      </c>
      <c r="B6" s="17" t="s">
        <v>227</v>
      </c>
      <c r="C6" s="23">
        <v>0.75</v>
      </c>
    </row>
    <row r="7" spans="1:3" x14ac:dyDescent="0.3">
      <c r="A7" s="18" t="s">
        <v>228</v>
      </c>
      <c r="B7" s="17" t="s">
        <v>227</v>
      </c>
      <c r="C7" s="23">
        <v>0.6</v>
      </c>
    </row>
    <row r="8" spans="1:3" x14ac:dyDescent="0.3">
      <c r="A8" s="18" t="s">
        <v>229</v>
      </c>
      <c r="B8" s="17" t="s">
        <v>227</v>
      </c>
      <c r="C8" s="23">
        <v>0.5</v>
      </c>
    </row>
    <row r="9" spans="1:3" x14ac:dyDescent="0.3">
      <c r="A9" s="18" t="s">
        <v>230</v>
      </c>
      <c r="B9" s="17" t="s">
        <v>227</v>
      </c>
      <c r="C9" s="23">
        <v>0.5</v>
      </c>
    </row>
    <row r="10" spans="1:3" x14ac:dyDescent="0.3">
      <c r="A10" s="18" t="s">
        <v>231</v>
      </c>
      <c r="B10" s="17" t="s">
        <v>227</v>
      </c>
      <c r="C10" s="23">
        <v>0.8</v>
      </c>
    </row>
    <row r="11" spans="1:3" x14ac:dyDescent="0.3">
      <c r="A11" s="18" t="s">
        <v>229</v>
      </c>
      <c r="B11" s="17" t="s">
        <v>227</v>
      </c>
      <c r="C11" s="23">
        <v>0.4</v>
      </c>
    </row>
    <row r="12" spans="1:3" x14ac:dyDescent="0.3">
      <c r="A12" s="18" t="s">
        <v>232</v>
      </c>
      <c r="B12" s="17" t="s">
        <v>227</v>
      </c>
      <c r="C12" s="23">
        <v>0.2</v>
      </c>
    </row>
    <row r="13" spans="1:3" x14ac:dyDescent="0.3">
      <c r="A13" s="18" t="s">
        <v>233</v>
      </c>
      <c r="B13" s="17" t="s">
        <v>164</v>
      </c>
      <c r="C13" s="23">
        <v>1</v>
      </c>
    </row>
    <row r="14" spans="1:3" x14ac:dyDescent="0.3">
      <c r="A14" s="18" t="s">
        <v>234</v>
      </c>
      <c r="B14" s="17" t="s">
        <v>227</v>
      </c>
      <c r="C14" s="23">
        <v>0.7</v>
      </c>
    </row>
    <row r="15" spans="1:3" x14ac:dyDescent="0.3">
      <c r="A15" s="18" t="s">
        <v>235</v>
      </c>
      <c r="B15" s="17" t="s">
        <v>227</v>
      </c>
      <c r="C15" s="23">
        <v>0.7</v>
      </c>
    </row>
    <row r="16" spans="1:3" x14ac:dyDescent="0.3">
      <c r="A16" s="18" t="s">
        <v>236</v>
      </c>
      <c r="B16" s="17" t="s">
        <v>227</v>
      </c>
      <c r="C16" s="23">
        <v>0.5</v>
      </c>
    </row>
    <row r="17" spans="1:3" x14ac:dyDescent="0.3">
      <c r="A17" s="18" t="s">
        <v>237</v>
      </c>
      <c r="B17" s="17" t="s">
        <v>227</v>
      </c>
      <c r="C17" s="23">
        <v>0.7</v>
      </c>
    </row>
  </sheetData>
  <mergeCells count="2">
    <mergeCell ref="A1:C1"/>
    <mergeCell ref="A2:C2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0"/>
  <sheetViews>
    <sheetView zoomScaleNormal="100" workbookViewId="0">
      <pane ySplit="3" topLeftCell="A4" activePane="bottomLeft" state="frozen"/>
      <selection pane="bottomLeft" activeCell="E17" sqref="E17"/>
    </sheetView>
  </sheetViews>
  <sheetFormatPr defaultColWidth="8.6640625" defaultRowHeight="14.4" x14ac:dyDescent="0.3"/>
  <cols>
    <col min="1" max="1" width="22" customWidth="1"/>
    <col min="2" max="2" width="50" customWidth="1"/>
    <col min="3" max="3" width="40" customWidth="1"/>
    <col min="4" max="7" width="16" customWidth="1"/>
  </cols>
  <sheetData>
    <row r="1" spans="1:7" ht="25.5" customHeight="1" x14ac:dyDescent="0.4">
      <c r="A1" s="50" t="s">
        <v>165</v>
      </c>
      <c r="B1" s="50"/>
      <c r="C1" s="50"/>
      <c r="D1" s="50"/>
      <c r="E1" s="50"/>
      <c r="F1" s="50"/>
      <c r="G1" s="50"/>
    </row>
    <row r="2" spans="1:7" x14ac:dyDescent="0.3">
      <c r="A2" s="43" t="s">
        <v>166</v>
      </c>
      <c r="B2" s="43"/>
      <c r="C2" s="43"/>
      <c r="D2" s="43"/>
      <c r="E2" s="43"/>
      <c r="F2" s="43"/>
      <c r="G2" s="43"/>
    </row>
    <row r="4" spans="1:7" ht="21.75" customHeight="1" x14ac:dyDescent="0.3">
      <c r="A4" s="1" t="s">
        <v>167</v>
      </c>
      <c r="B4" s="1" t="s">
        <v>168</v>
      </c>
    </row>
    <row r="5" spans="1:7" ht="49.5" customHeight="1" x14ac:dyDescent="0.3">
      <c r="A5" s="22" t="s">
        <v>169</v>
      </c>
      <c r="B5" s="18" t="s">
        <v>170</v>
      </c>
    </row>
    <row r="8" spans="1:7" ht="21.75" customHeight="1" x14ac:dyDescent="0.3">
      <c r="A8" s="1" t="s">
        <v>171</v>
      </c>
      <c r="B8" s="1" t="s">
        <v>62</v>
      </c>
      <c r="C8" s="1" t="s">
        <v>172</v>
      </c>
      <c r="D8" s="1" t="s">
        <v>173</v>
      </c>
      <c r="E8" s="1" t="s">
        <v>174</v>
      </c>
      <c r="F8" s="1" t="s">
        <v>105</v>
      </c>
      <c r="G8" s="1" t="s">
        <v>105</v>
      </c>
    </row>
    <row r="9" spans="1:7" ht="26.4" x14ac:dyDescent="0.3">
      <c r="A9" s="22" t="s">
        <v>175</v>
      </c>
      <c r="B9" s="18" t="s">
        <v>176</v>
      </c>
      <c r="C9" s="22" t="s">
        <v>177</v>
      </c>
      <c r="D9" s="11">
        <v>1828426</v>
      </c>
      <c r="E9" s="23">
        <v>0.6</v>
      </c>
    </row>
    <row r="10" spans="1:7" ht="26.4" x14ac:dyDescent="0.3">
      <c r="A10" s="22" t="s">
        <v>178</v>
      </c>
      <c r="B10" s="18" t="s">
        <v>179</v>
      </c>
      <c r="C10" s="22" t="s">
        <v>180</v>
      </c>
      <c r="D10" s="11">
        <v>1218950</v>
      </c>
      <c r="E10" s="23">
        <v>0.4</v>
      </c>
    </row>
    <row r="11" spans="1:7" ht="26.4" x14ac:dyDescent="0.3">
      <c r="A11" s="22" t="s">
        <v>181</v>
      </c>
      <c r="B11" s="18" t="s">
        <v>182</v>
      </c>
      <c r="C11" s="22"/>
      <c r="D11" s="11">
        <v>0</v>
      </c>
      <c r="E11" s="23">
        <v>0</v>
      </c>
    </row>
    <row r="13" spans="1:7" ht="21.75" customHeight="1" x14ac:dyDescent="0.3">
      <c r="A13" s="1" t="s">
        <v>183</v>
      </c>
      <c r="B13" s="1" t="s">
        <v>184</v>
      </c>
      <c r="C13" s="1" t="s">
        <v>185</v>
      </c>
    </row>
    <row r="14" spans="1:7" ht="31.5" customHeight="1" x14ac:dyDescent="0.3">
      <c r="A14" s="22" t="s">
        <v>186</v>
      </c>
      <c r="B14" s="18" t="s">
        <v>187</v>
      </c>
      <c r="C14" s="18" t="s">
        <v>188</v>
      </c>
    </row>
    <row r="15" spans="1:7" ht="31.5" customHeight="1" x14ac:dyDescent="0.3">
      <c r="A15" s="22" t="s">
        <v>189</v>
      </c>
      <c r="B15" s="18" t="s">
        <v>190</v>
      </c>
      <c r="C15" s="18" t="s">
        <v>191</v>
      </c>
    </row>
    <row r="18" spans="1:2" ht="21.75" customHeight="1" x14ac:dyDescent="0.3">
      <c r="A18" s="1" t="s">
        <v>192</v>
      </c>
      <c r="B18" s="1" t="s">
        <v>193</v>
      </c>
    </row>
    <row r="19" spans="1:2" ht="26.4" x14ac:dyDescent="0.3">
      <c r="A19" s="22" t="s">
        <v>194</v>
      </c>
      <c r="B19" s="18" t="s">
        <v>195</v>
      </c>
    </row>
    <row r="20" spans="1:2" x14ac:dyDescent="0.3">
      <c r="A20" s="22" t="s">
        <v>196</v>
      </c>
      <c r="B20" s="18" t="s">
        <v>197</v>
      </c>
    </row>
    <row r="21" spans="1:2" ht="26.4" x14ac:dyDescent="0.3">
      <c r="A21" s="22" t="s">
        <v>198</v>
      </c>
      <c r="B21" s="18" t="s">
        <v>199</v>
      </c>
    </row>
    <row r="22" spans="1:2" ht="26.4" x14ac:dyDescent="0.3">
      <c r="A22" s="22" t="s">
        <v>200</v>
      </c>
      <c r="B22" s="18" t="s">
        <v>201</v>
      </c>
    </row>
    <row r="23" spans="1:2" x14ac:dyDescent="0.3">
      <c r="A23" s="22" t="s">
        <v>202</v>
      </c>
      <c r="B23" s="18" t="s">
        <v>203</v>
      </c>
    </row>
    <row r="26" spans="1:2" ht="21.75" customHeight="1" x14ac:dyDescent="0.3">
      <c r="A26" s="1" t="s">
        <v>192</v>
      </c>
      <c r="B26" s="1" t="s">
        <v>193</v>
      </c>
    </row>
    <row r="27" spans="1:2" ht="26.4" x14ac:dyDescent="0.3">
      <c r="A27" s="22" t="s">
        <v>204</v>
      </c>
      <c r="B27" s="18" t="s">
        <v>205</v>
      </c>
    </row>
    <row r="28" spans="1:2" ht="26.4" x14ac:dyDescent="0.3">
      <c r="A28" s="22" t="s">
        <v>206</v>
      </c>
      <c r="B28" s="18" t="s">
        <v>207</v>
      </c>
    </row>
    <row r="29" spans="1:2" ht="26.4" x14ac:dyDescent="0.3">
      <c r="A29" s="22" t="s">
        <v>208</v>
      </c>
      <c r="B29" s="18" t="s">
        <v>209</v>
      </c>
    </row>
    <row r="30" spans="1:2" ht="26.4" x14ac:dyDescent="0.3">
      <c r="A30" s="22" t="s">
        <v>210</v>
      </c>
      <c r="B30" s="18" t="s">
        <v>211</v>
      </c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Financial_Overview</vt:lpstr>
      <vt:lpstr>Cash_Flow</vt:lpstr>
      <vt:lpstr>Pipeline_Revenue</vt:lpstr>
      <vt:lpstr>Sales_Performance</vt:lpstr>
      <vt:lpstr>Sales_Raw_Opportunities</vt:lpstr>
      <vt:lpstr>Sales_Stage_Details</vt:lpstr>
      <vt:lpstr>Sales_Raw_Operations</vt:lpstr>
      <vt:lpstr>Strategy_Operations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Abdelrhman Gamal Kamel Mohamed</cp:lastModifiedBy>
  <cp:revision>0</cp:revision>
  <dcterms:created xsi:type="dcterms:W3CDTF">2026-04-30T06:19:42Z</dcterms:created>
  <dcterms:modified xsi:type="dcterms:W3CDTF">2026-05-12T14:36:03Z</dcterms:modified>
  <dc:language>en-US</dc:language>
</cp:coreProperties>
</file>