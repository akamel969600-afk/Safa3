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11B52FD6-FD26-48A7-8B59-97928A0A08D4}" xr6:coauthVersionLast="47" xr6:coauthVersionMax="47" xr10:uidLastSave="{00000000-0000-0000-0000-000000000000}"/>
  <bookViews>
    <workbookView xWindow="-108" yWindow="-108" windowWidth="23256" windowHeight="12456" tabRatio="1000" activeTab="5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C7" i="9"/>
  <c r="C13" i="9" s="1"/>
  <c r="B7" i="9"/>
  <c r="B13" i="9" s="1"/>
  <c r="H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<sst xmlns="http://schemas.openxmlformats.org/spreadsheetml/2006/main" count="638" uniqueCount="366">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</sst>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2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7" fillId="4" borderId="2" xfId="0" applyFont="1" applyFill="1" applyBorder="1" applyAlignment="1">
      <alignment horizontal="left" vertical="center"/>
    </xf>
    <xf numFmtId="0" fontId="0" fillId="0" borderId="0" xfId="0"/>
    <xf numFmtId="0" fontId="4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1" t="s">
        <v>0</v>
      </c>
      <c r="B1" s="39"/>
      <c r="C1" s="39"/>
      <c r="D1" s="39"/>
      <c r="E1" s="39"/>
      <c r="F1" s="39"/>
    </row>
    <row r="2" spans="1:6" ht="14.4" x14ac:dyDescent="0.3">
      <c r="A2" s="40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38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1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1" t="s">
        <v>39</v>
      </c>
      <c r="B1" s="39"/>
      <c r="C1" s="39"/>
      <c r="D1" s="39"/>
      <c r="E1" s="39"/>
      <c r="F1" s="39"/>
    </row>
    <row r="2" spans="1:6" ht="14.4" x14ac:dyDescent="0.3">
      <c r="A2" s="40" t="s">
        <v>112</v>
      </c>
      <c r="B2" s="39"/>
      <c r="C2" s="39"/>
      <c r="D2" s="39"/>
      <c r="E2" s="39"/>
      <c r="F2" s="39"/>
    </row>
    <row r="3" spans="1:6" ht="14.4" x14ac:dyDescent="0.3">
      <c r="A3" s="38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38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1" t="s">
        <v>48</v>
      </c>
      <c r="B1" s="39"/>
      <c r="C1" s="39"/>
      <c r="D1" s="39"/>
      <c r="E1" s="39"/>
      <c r="F1" s="39"/>
    </row>
    <row r="2" spans="1:6" ht="14.4" x14ac:dyDescent="0.3">
      <c r="A2" s="40" t="s">
        <v>139</v>
      </c>
      <c r="B2" s="39"/>
      <c r="C2" s="39"/>
      <c r="D2" s="39"/>
      <c r="E2" s="39"/>
      <c r="F2" s="39"/>
    </row>
    <row r="3" spans="1:6" ht="14.4" x14ac:dyDescent="0.3">
      <c r="A3" s="38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38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1" t="s">
        <v>54</v>
      </c>
      <c r="B1" s="39"/>
      <c r="C1" s="39"/>
      <c r="D1" s="39"/>
      <c r="E1" s="39"/>
      <c r="F1" s="39"/>
      <c r="G1" s="39"/>
    </row>
    <row r="2" spans="1:7" ht="14.4" x14ac:dyDescent="0.3">
      <c r="A2" s="40" t="s">
        <v>154</v>
      </c>
      <c r="B2" s="39"/>
      <c r="C2" s="39"/>
      <c r="D2" s="39"/>
      <c r="E2" s="39"/>
      <c r="F2" s="39"/>
      <c r="G2" s="39"/>
    </row>
    <row r="3" spans="1:7" ht="14.4" x14ac:dyDescent="0.3">
      <c r="A3" s="38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38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38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38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38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tabSelected="1" topLeftCell="A6" workbookViewId="0">
      <selection activeCell="B5" sqref="B5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1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40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8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38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8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B21" sqref="B21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1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40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249</v>
      </c>
      <c r="I4" s="12" t="s">
        <v>257</v>
      </c>
    </row>
    <row r="5" spans="1:9" ht="14.4" x14ac:dyDescent="0.3">
      <c r="A5" s="4" t="s">
        <v>258</v>
      </c>
      <c r="B5" s="5" t="s">
        <v>259</v>
      </c>
      <c r="C5" s="12" t="s">
        <v>255</v>
      </c>
      <c r="D5" s="12" t="s">
        <v>260</v>
      </c>
      <c r="E5" s="13">
        <v>75000</v>
      </c>
      <c r="F5" s="23">
        <v>1</v>
      </c>
      <c r="G5" s="14">
        <f t="shared" si="0"/>
        <v>75000</v>
      </c>
      <c r="H5" s="24" t="s">
        <v>249</v>
      </c>
      <c r="I5" s="12" t="s">
        <v>257</v>
      </c>
    </row>
    <row r="6" spans="1:9" ht="14.4" x14ac:dyDescent="0.3">
      <c r="A6" s="4" t="s">
        <v>223</v>
      </c>
      <c r="B6" s="5" t="s">
        <v>261</v>
      </c>
      <c r="C6" s="12" t="s">
        <v>255</v>
      </c>
      <c r="D6" s="12" t="s">
        <v>262</v>
      </c>
      <c r="E6" s="13"/>
      <c r="F6" s="23">
        <v>0.85</v>
      </c>
      <c r="G6" s="14" t="str">
        <f t="shared" si="0"/>
        <v/>
      </c>
      <c r="H6" s="24" t="s">
        <v>249</v>
      </c>
      <c r="I6" s="12" t="s">
        <v>257</v>
      </c>
    </row>
    <row r="7" spans="1:9" ht="14.4" x14ac:dyDescent="0.3">
      <c r="A7" s="4" t="s">
        <v>263</v>
      </c>
      <c r="B7" s="5" t="s">
        <v>264</v>
      </c>
      <c r="C7" s="12" t="s">
        <v>255</v>
      </c>
      <c r="D7" s="12" t="s">
        <v>265</v>
      </c>
      <c r="E7" s="13">
        <v>500000</v>
      </c>
      <c r="F7" s="23">
        <v>0.8</v>
      </c>
      <c r="G7" s="14">
        <f t="shared" si="0"/>
        <v>400000</v>
      </c>
      <c r="H7" s="24" t="s">
        <v>249</v>
      </c>
      <c r="I7" s="12" t="s">
        <v>257</v>
      </c>
    </row>
    <row r="8" spans="1:9" ht="14.4" x14ac:dyDescent="0.3">
      <c r="A8" s="4" t="s">
        <v>266</v>
      </c>
      <c r="B8" s="5" t="s">
        <v>267</v>
      </c>
      <c r="C8" s="12" t="s">
        <v>255</v>
      </c>
      <c r="D8" s="12" t="s">
        <v>265</v>
      </c>
      <c r="E8" s="13">
        <v>20000</v>
      </c>
      <c r="F8" s="23">
        <v>1</v>
      </c>
      <c r="G8" s="14">
        <f t="shared" si="0"/>
        <v>20000</v>
      </c>
      <c r="H8" s="24" t="s">
        <v>268</v>
      </c>
      <c r="I8" s="12" t="s">
        <v>257</v>
      </c>
    </row>
    <row r="9" spans="1:9" ht="14.4" x14ac:dyDescent="0.3">
      <c r="A9" s="4" t="s">
        <v>269</v>
      </c>
      <c r="B9" s="5" t="s">
        <v>270</v>
      </c>
      <c r="C9" s="12" t="s">
        <v>255</v>
      </c>
      <c r="D9" s="12" t="s">
        <v>271</v>
      </c>
      <c r="E9" s="13">
        <v>500000</v>
      </c>
      <c r="F9" s="23">
        <v>0.6</v>
      </c>
      <c r="G9" s="14">
        <f t="shared" si="0"/>
        <v>300000</v>
      </c>
      <c r="H9" s="24" t="s">
        <v>249</v>
      </c>
      <c r="I9" s="12" t="s">
        <v>257</v>
      </c>
    </row>
    <row r="10" spans="1:9" ht="14.4" x14ac:dyDescent="0.3">
      <c r="A10" s="4" t="s">
        <v>263</v>
      </c>
      <c r="B10" s="5" t="s">
        <v>272</v>
      </c>
      <c r="C10" s="12" t="s">
        <v>255</v>
      </c>
      <c r="D10" s="12" t="s">
        <v>273</v>
      </c>
      <c r="E10" s="13">
        <v>1000000</v>
      </c>
      <c r="F10" s="23">
        <v>0.6</v>
      </c>
      <c r="G10" s="14">
        <f t="shared" si="0"/>
        <v>600000</v>
      </c>
      <c r="H10" s="24" t="s">
        <v>249</v>
      </c>
      <c r="I10" s="12" t="s">
        <v>257</v>
      </c>
    </row>
    <row r="11" spans="1:9" ht="14.4" x14ac:dyDescent="0.3">
      <c r="A11" s="4" t="s">
        <v>274</v>
      </c>
      <c r="B11" s="5" t="s">
        <v>275</v>
      </c>
      <c r="C11" s="12" t="s">
        <v>255</v>
      </c>
      <c r="D11" s="12" t="s">
        <v>265</v>
      </c>
      <c r="E11" s="13"/>
      <c r="F11" s="23">
        <v>0.5</v>
      </c>
      <c r="G11" s="14">
        <v>50000</v>
      </c>
      <c r="H11" s="24" t="s">
        <v>249</v>
      </c>
      <c r="I11" s="12" t="s">
        <v>257</v>
      </c>
    </row>
    <row r="12" spans="1:9" ht="14.4" x14ac:dyDescent="0.3">
      <c r="A12" s="4" t="s">
        <v>276</v>
      </c>
      <c r="B12" s="5" t="s">
        <v>277</v>
      </c>
      <c r="C12" s="12" t="s">
        <v>255</v>
      </c>
      <c r="D12" s="12" t="s">
        <v>265</v>
      </c>
      <c r="E12" s="13"/>
      <c r="F12" s="23">
        <v>0.5</v>
      </c>
      <c r="G12" s="14">
        <v>50000</v>
      </c>
      <c r="H12" s="24" t="s">
        <v>249</v>
      </c>
      <c r="I12" s="12" t="s">
        <v>257</v>
      </c>
    </row>
    <row r="13" spans="1:9" ht="14.4" x14ac:dyDescent="0.3">
      <c r="A13" s="4" t="s">
        <v>278</v>
      </c>
      <c r="B13" s="5" t="s">
        <v>279</v>
      </c>
      <c r="C13" s="12" t="s">
        <v>255</v>
      </c>
      <c r="D13" s="12" t="s">
        <v>265</v>
      </c>
      <c r="E13" s="13"/>
      <c r="F13" s="23">
        <v>0.5</v>
      </c>
      <c r="G13" s="14">
        <v>50000</v>
      </c>
      <c r="H13" s="24" t="s">
        <v>249</v>
      </c>
      <c r="I13" s="12" t="s">
        <v>257</v>
      </c>
    </row>
    <row r="14" spans="1:9" ht="14.4" x14ac:dyDescent="0.3">
      <c r="A14" s="4" t="s">
        <v>280</v>
      </c>
      <c r="B14" s="5" t="s">
        <v>281</v>
      </c>
      <c r="C14" s="12" t="s">
        <v>255</v>
      </c>
      <c r="D14" s="12" t="s">
        <v>282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249</v>
      </c>
      <c r="I14" s="12" t="s">
        <v>257</v>
      </c>
    </row>
    <row r="15" spans="1:9" ht="14.4" x14ac:dyDescent="0.3">
      <c r="A15" s="4" t="s">
        <v>221</v>
      </c>
      <c r="B15" s="5" t="s">
        <v>283</v>
      </c>
      <c r="C15" s="12" t="s">
        <v>284</v>
      </c>
      <c r="D15" s="12" t="s">
        <v>271</v>
      </c>
      <c r="E15" s="13">
        <v>500000</v>
      </c>
      <c r="F15" s="23">
        <v>0.5</v>
      </c>
      <c r="G15" s="14">
        <f t="shared" si="1"/>
        <v>250000</v>
      </c>
      <c r="H15" s="24" t="s">
        <v>249</v>
      </c>
      <c r="I15" s="12" t="s">
        <v>257</v>
      </c>
    </row>
    <row r="16" spans="1:9" ht="14.4" x14ac:dyDescent="0.3">
      <c r="A16" s="4" t="s">
        <v>263</v>
      </c>
      <c r="B16" s="5" t="s">
        <v>285</v>
      </c>
      <c r="C16" s="12" t="s">
        <v>255</v>
      </c>
      <c r="D16" s="12" t="s">
        <v>256</v>
      </c>
      <c r="E16" s="13">
        <v>90000</v>
      </c>
      <c r="F16" s="23">
        <v>0.5</v>
      </c>
      <c r="G16" s="14">
        <f t="shared" si="1"/>
        <v>45000</v>
      </c>
      <c r="H16" s="24" t="s">
        <v>249</v>
      </c>
      <c r="I16" s="12" t="s">
        <v>257</v>
      </c>
    </row>
    <row r="17" spans="1:9" ht="14.4" x14ac:dyDescent="0.3">
      <c r="A17" s="4" t="s">
        <v>286</v>
      </c>
      <c r="B17" s="5" t="s">
        <v>287</v>
      </c>
      <c r="C17" s="12" t="s">
        <v>255</v>
      </c>
      <c r="D17" s="12" t="s">
        <v>282</v>
      </c>
      <c r="E17" s="13"/>
      <c r="F17" s="23">
        <v>0.5</v>
      </c>
      <c r="G17" s="14" t="str">
        <f t="shared" si="1"/>
        <v/>
      </c>
      <c r="H17" s="24" t="s">
        <v>249</v>
      </c>
      <c r="I17" s="12" t="s">
        <v>257</v>
      </c>
    </row>
    <row r="18" spans="1:9" ht="14.4" x14ac:dyDescent="0.3">
      <c r="A18" s="4" t="s">
        <v>288</v>
      </c>
      <c r="B18" s="5" t="s">
        <v>259</v>
      </c>
      <c r="C18" s="12" t="s">
        <v>255</v>
      </c>
      <c r="D18" s="12" t="s">
        <v>265</v>
      </c>
      <c r="E18" s="13">
        <v>195000</v>
      </c>
      <c r="F18" s="23">
        <v>0.4</v>
      </c>
      <c r="G18" s="14">
        <f t="shared" si="1"/>
        <v>78000</v>
      </c>
      <c r="H18" s="24" t="s">
        <v>249</v>
      </c>
      <c r="I18" s="12" t="s">
        <v>257</v>
      </c>
    </row>
    <row r="19" spans="1:9" ht="14.4" x14ac:dyDescent="0.3">
      <c r="A19" s="4" t="s">
        <v>289</v>
      </c>
      <c r="B19" s="5" t="s">
        <v>290</v>
      </c>
      <c r="C19" s="12" t="s">
        <v>255</v>
      </c>
      <c r="D19" s="12" t="s">
        <v>291</v>
      </c>
      <c r="E19" s="13">
        <v>100000</v>
      </c>
      <c r="F19" s="23">
        <v>0.3</v>
      </c>
      <c r="G19" s="14">
        <f t="shared" si="1"/>
        <v>30000</v>
      </c>
      <c r="H19" s="24" t="s">
        <v>249</v>
      </c>
      <c r="I19" s="12" t="s">
        <v>257</v>
      </c>
    </row>
    <row r="20" spans="1:9" ht="14.4" x14ac:dyDescent="0.3">
      <c r="A20" s="4" t="s">
        <v>237</v>
      </c>
      <c r="B20" s="5" t="s">
        <v>272</v>
      </c>
      <c r="C20" s="12" t="s">
        <v>255</v>
      </c>
      <c r="D20" s="12" t="s">
        <v>273</v>
      </c>
      <c r="E20" s="13">
        <v>45000</v>
      </c>
      <c r="F20" s="23">
        <v>0.6</v>
      </c>
      <c r="G20" s="14">
        <f t="shared" si="1"/>
        <v>27000</v>
      </c>
      <c r="H20" s="24" t="s">
        <v>249</v>
      </c>
      <c r="I20" s="12" t="s">
        <v>257</v>
      </c>
    </row>
    <row r="21" spans="1:9" ht="15.75" customHeight="1" x14ac:dyDescent="0.3">
      <c r="A21" s="4" t="s">
        <v>237</v>
      </c>
      <c r="B21" s="5" t="s">
        <v>292</v>
      </c>
      <c r="C21" s="12" t="s">
        <v>255</v>
      </c>
      <c r="D21" s="12" t="s">
        <v>271</v>
      </c>
      <c r="E21" s="13">
        <v>30000</v>
      </c>
      <c r="F21" s="23">
        <v>1</v>
      </c>
      <c r="G21" s="14">
        <f t="shared" si="1"/>
        <v>30000</v>
      </c>
      <c r="H21" s="24" t="s">
        <v>268</v>
      </c>
      <c r="I21" s="12" t="s">
        <v>257</v>
      </c>
    </row>
    <row r="22" spans="1:9" ht="15.75" customHeight="1" x14ac:dyDescent="0.3">
      <c r="A22" s="4" t="s">
        <v>237</v>
      </c>
      <c r="B22" s="5" t="s">
        <v>259</v>
      </c>
      <c r="C22" s="12" t="s">
        <v>255</v>
      </c>
      <c r="D22" s="12" t="s">
        <v>291</v>
      </c>
      <c r="E22" s="13">
        <v>140000</v>
      </c>
      <c r="F22" s="23">
        <v>0.5</v>
      </c>
      <c r="G22" s="14">
        <f t="shared" si="1"/>
        <v>70000</v>
      </c>
      <c r="H22" s="24" t="s">
        <v>249</v>
      </c>
      <c r="I22" s="12" t="s">
        <v>257</v>
      </c>
    </row>
    <row r="23" spans="1:9" ht="15.75" customHeight="1" x14ac:dyDescent="0.3">
      <c r="A23" s="4" t="s">
        <v>293</v>
      </c>
      <c r="B23" s="5" t="s">
        <v>294</v>
      </c>
      <c r="C23" s="12" t="s">
        <v>255</v>
      </c>
      <c r="D23" s="12" t="s">
        <v>262</v>
      </c>
      <c r="E23" s="13">
        <v>100000</v>
      </c>
      <c r="F23" s="23">
        <v>0</v>
      </c>
      <c r="G23" s="14">
        <f t="shared" si="1"/>
        <v>0</v>
      </c>
      <c r="H23" s="24" t="s">
        <v>295</v>
      </c>
      <c r="I23" s="12" t="s">
        <v>257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1" t="s">
        <v>296</v>
      </c>
      <c r="B1" s="39"/>
      <c r="C1" s="39"/>
      <c r="D1" s="39"/>
      <c r="E1" s="39"/>
      <c r="F1" s="39"/>
    </row>
    <row r="2" spans="1:6" ht="14.4" x14ac:dyDescent="0.3">
      <c r="A2" s="40" t="s">
        <v>297</v>
      </c>
      <c r="B2" s="39"/>
      <c r="C2" s="39"/>
      <c r="D2" s="39"/>
      <c r="E2" s="39"/>
      <c r="F2" s="39"/>
    </row>
    <row r="3" spans="1:6" ht="14.4" x14ac:dyDescent="0.3">
      <c r="A3" s="3" t="s">
        <v>298</v>
      </c>
      <c r="B3" s="3" t="s">
        <v>299</v>
      </c>
      <c r="C3" s="3" t="s">
        <v>300</v>
      </c>
    </row>
    <row r="4" spans="1:6" ht="14.4" x14ac:dyDescent="0.3">
      <c r="A4" s="4" t="s">
        <v>301</v>
      </c>
      <c r="B4" s="24" t="s">
        <v>302</v>
      </c>
      <c r="C4" s="23">
        <v>1</v>
      </c>
    </row>
    <row r="5" spans="1:6" ht="14.4" x14ac:dyDescent="0.3">
      <c r="A5" s="4" t="s">
        <v>303</v>
      </c>
      <c r="B5" s="24" t="s">
        <v>302</v>
      </c>
      <c r="C5" s="23">
        <v>1</v>
      </c>
    </row>
    <row r="6" spans="1:6" ht="14.4" x14ac:dyDescent="0.3">
      <c r="A6" s="4" t="s">
        <v>304</v>
      </c>
      <c r="B6" s="24" t="s">
        <v>305</v>
      </c>
      <c r="C6" s="23">
        <v>0.5</v>
      </c>
    </row>
    <row r="7" spans="1:6" ht="14.4" x14ac:dyDescent="0.3">
      <c r="A7" s="4" t="s">
        <v>306</v>
      </c>
      <c r="B7" s="24" t="s">
        <v>305</v>
      </c>
      <c r="C7" s="23">
        <v>0.5</v>
      </c>
    </row>
    <row r="8" spans="1:6" ht="14.4" x14ac:dyDescent="0.3">
      <c r="A8" s="4" t="s">
        <v>307</v>
      </c>
      <c r="B8" s="24" t="s">
        <v>305</v>
      </c>
      <c r="C8" s="23">
        <v>0.5</v>
      </c>
    </row>
    <row r="9" spans="1:6" ht="14.4" x14ac:dyDescent="0.3">
      <c r="A9" s="4" t="s">
        <v>308</v>
      </c>
      <c r="B9" s="24" t="s">
        <v>305</v>
      </c>
      <c r="C9" s="23">
        <v>0.4</v>
      </c>
    </row>
    <row r="10" spans="1:6" ht="14.4" x14ac:dyDescent="0.3">
      <c r="A10" s="4" t="s">
        <v>309</v>
      </c>
      <c r="B10" s="24" t="s">
        <v>305</v>
      </c>
      <c r="C10" s="23">
        <v>0.3</v>
      </c>
    </row>
    <row r="11" spans="1:6" ht="14.4" x14ac:dyDescent="0.3">
      <c r="A11" s="4" t="s">
        <v>310</v>
      </c>
      <c r="B11" s="24" t="s">
        <v>311</v>
      </c>
      <c r="C11" s="23">
        <v>0.3</v>
      </c>
    </row>
    <row r="12" spans="1:6" ht="14.4" x14ac:dyDescent="0.3">
      <c r="A12" s="4" t="s">
        <v>312</v>
      </c>
      <c r="B12" s="24" t="s">
        <v>305</v>
      </c>
      <c r="C12" s="23">
        <v>0.3</v>
      </c>
    </row>
    <row r="13" spans="1:6" ht="14.4" x14ac:dyDescent="0.3">
      <c r="A13" s="4" t="s">
        <v>313</v>
      </c>
      <c r="B13" s="24" t="s">
        <v>311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10" activePane="bottomLeft" state="frozen"/>
      <selection pane="bottomLeft" activeCell="B12" sqref="A12:B13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1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40" t="s">
        <v>314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8" t="s">
        <v>315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316</v>
      </c>
      <c r="C4" s="3" t="s">
        <v>250</v>
      </c>
      <c r="D4" s="3" t="s">
        <v>317</v>
      </c>
      <c r="E4" s="3" t="s">
        <v>318</v>
      </c>
      <c r="F4" s="3" t="s">
        <v>319</v>
      </c>
      <c r="G4" s="3" t="s">
        <v>320</v>
      </c>
      <c r="H4" s="18" t="s">
        <v>321</v>
      </c>
      <c r="I4" s="18" t="s">
        <v>116</v>
      </c>
    </row>
    <row r="5" spans="1:9" ht="14.4" x14ac:dyDescent="0.3">
      <c r="A5" s="4" t="s">
        <v>322</v>
      </c>
      <c r="B5" s="13">
        <v>9</v>
      </c>
      <c r="C5" s="13">
        <v>3700000</v>
      </c>
      <c r="D5" s="13">
        <v>2</v>
      </c>
      <c r="E5" s="24" t="s">
        <v>323</v>
      </c>
      <c r="F5" s="13">
        <v>7</v>
      </c>
      <c r="G5" s="25">
        <v>0</v>
      </c>
      <c r="H5" s="21">
        <f>COUNTIF(Sales_Raw_Opportunities!F:F,G5)</f>
        <v>1</v>
      </c>
      <c r="I5" s="2" t="s">
        <v>324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324</v>
      </c>
    </row>
    <row r="7" spans="1:9" ht="14.4" x14ac:dyDescent="0.3">
      <c r="A7" s="4" t="s">
        <v>325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v>1</v>
      </c>
      <c r="E7" s="24" t="s">
        <v>365</v>
      </c>
      <c r="F7" s="13">
        <v>2</v>
      </c>
      <c r="G7" s="25">
        <v>0.4</v>
      </c>
      <c r="H7" s="21">
        <f>COUNTIF(Sales_Raw_Opportunities!F:F,G7)</f>
        <v>1</v>
      </c>
      <c r="I7" s="2" t="s">
        <v>324</v>
      </c>
    </row>
    <row r="8" spans="1:9" ht="14.4" x14ac:dyDescent="0.3">
      <c r="A8" s="4" t="s">
        <v>326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324</v>
      </c>
    </row>
    <row r="9" spans="1:9" ht="14.4" x14ac:dyDescent="0.3">
      <c r="A9" s="38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3</v>
      </c>
      <c r="I9" s="2" t="s">
        <v>324</v>
      </c>
    </row>
    <row r="10" spans="1:9" ht="14.4" x14ac:dyDescent="0.3">
      <c r="A10" s="3" t="s">
        <v>253</v>
      </c>
      <c r="B10" s="3" t="s">
        <v>316</v>
      </c>
      <c r="C10" s="3" t="s">
        <v>250</v>
      </c>
      <c r="D10" s="3" t="s">
        <v>327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324</v>
      </c>
    </row>
    <row r="11" spans="1:9" ht="14.4" x14ac:dyDescent="0.3">
      <c r="A11" s="4" t="s">
        <v>328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329</v>
      </c>
      <c r="G11" s="26">
        <v>0.8</v>
      </c>
      <c r="H11" s="21">
        <f>COUNTIF(Sales_Raw_Opportunities!F:F,G11)</f>
        <v>1</v>
      </c>
      <c r="I11" s="2" t="s">
        <v>324</v>
      </c>
    </row>
    <row r="12" spans="1:9" ht="14.4" x14ac:dyDescent="0.3">
      <c r="A12" s="4" t="s">
        <v>330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329</v>
      </c>
      <c r="G12" s="26">
        <v>0.85</v>
      </c>
      <c r="H12" s="21">
        <f>COUNTIF(Sales_Raw_Opportunities!F:F,G12)</f>
        <v>1</v>
      </c>
      <c r="I12" s="2" t="s">
        <v>324</v>
      </c>
    </row>
    <row r="13" spans="1:9" ht="14.4" x14ac:dyDescent="0.3">
      <c r="A13" s="4" t="s">
        <v>331</v>
      </c>
      <c r="B13" s="14">
        <f t="shared" si="0"/>
        <v>17</v>
      </c>
      <c r="C13" s="14">
        <f t="shared" si="0"/>
        <v>3275000</v>
      </c>
      <c r="D13" s="12"/>
      <c r="E13" s="12" t="s">
        <v>332</v>
      </c>
      <c r="G13" s="26">
        <v>0.95</v>
      </c>
      <c r="H13" s="21">
        <f>COUNTIF(Sales_Raw_Opportunities!F:F,G13)</f>
        <v>1</v>
      </c>
      <c r="I13" s="2" t="s">
        <v>324</v>
      </c>
    </row>
    <row r="14" spans="1:9" ht="14.4" x14ac:dyDescent="0.3">
      <c r="A14" s="4" t="s">
        <v>333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329</v>
      </c>
      <c r="G14" s="26">
        <v>1</v>
      </c>
      <c r="H14" s="21">
        <f>COUNTIF(Sales_Raw_Opportunities!F:F,G14)</f>
        <v>3</v>
      </c>
      <c r="I14" s="2" t="s">
        <v>324</v>
      </c>
    </row>
    <row r="15" spans="1:9" ht="14.4" x14ac:dyDescent="0.3">
      <c r="A15" s="38" t="s">
        <v>334</v>
      </c>
      <c r="B15" s="39"/>
      <c r="C15" s="39"/>
    </row>
    <row r="16" spans="1:9" ht="14.4" x14ac:dyDescent="0.3">
      <c r="A16" s="38" t="s">
        <v>335</v>
      </c>
      <c r="B16" s="39"/>
      <c r="G16" s="18" t="s">
        <v>336</v>
      </c>
      <c r="H16" s="18" t="s">
        <v>218</v>
      </c>
      <c r="I16" s="18" t="s">
        <v>337</v>
      </c>
    </row>
    <row r="17" spans="1:9" ht="14.4" x14ac:dyDescent="0.3">
      <c r="A17" s="3" t="s">
        <v>102</v>
      </c>
      <c r="B17" s="3" t="s">
        <v>338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339</v>
      </c>
    </row>
    <row r="26" spans="1:9" ht="15.75" customHeight="1" x14ac:dyDescent="0.3">
      <c r="A26" s="2" t="s">
        <v>340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341</v>
      </c>
      <c r="B1" s="2" t="s">
        <v>302</v>
      </c>
    </row>
    <row r="2" spans="1:2" ht="14.4" x14ac:dyDescent="0.3">
      <c r="A2" s="2" t="s">
        <v>342</v>
      </c>
      <c r="B2" s="2" t="s">
        <v>305</v>
      </c>
    </row>
    <row r="3" spans="1:2" ht="14.4" x14ac:dyDescent="0.3">
      <c r="A3" s="2" t="s">
        <v>249</v>
      </c>
      <c r="B3" s="2" t="s">
        <v>311</v>
      </c>
    </row>
    <row r="4" spans="1:2" ht="14.4" x14ac:dyDescent="0.3">
      <c r="A4" s="2" t="s">
        <v>268</v>
      </c>
    </row>
    <row r="5" spans="1:2" ht="14.4" x14ac:dyDescent="0.3">
      <c r="A5" s="2" t="s">
        <v>295</v>
      </c>
    </row>
    <row r="6" spans="1:2" ht="14.4" x14ac:dyDescent="0.3">
      <c r="A6" s="2" t="s">
        <v>343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4" topLeftCell="A11" activePane="bottomLeft" state="frozen"/>
      <selection pane="bottomLeft" activeCell="D15" sqref="D15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344</v>
      </c>
    </row>
    <row r="2" spans="1:7" ht="100.8" x14ac:dyDescent="0.3">
      <c r="A2" s="29" t="s">
        <v>345</v>
      </c>
    </row>
    <row r="4" spans="1:7" x14ac:dyDescent="0.3">
      <c r="A4" s="30" t="s">
        <v>253</v>
      </c>
      <c r="B4" s="30" t="s">
        <v>346</v>
      </c>
      <c r="C4" s="30" t="s">
        <v>218</v>
      </c>
      <c r="D4" s="30" t="s">
        <v>247</v>
      </c>
      <c r="E4" s="30" t="s">
        <v>250</v>
      </c>
      <c r="F4" s="30" t="s">
        <v>347</v>
      </c>
      <c r="G4" s="30" t="s">
        <v>38</v>
      </c>
    </row>
    <row r="5" spans="1:7" x14ac:dyDescent="0.3">
      <c r="A5" s="33" t="s">
        <v>341</v>
      </c>
      <c r="B5" t="s">
        <v>348</v>
      </c>
      <c r="C5" s="31" t="s">
        <v>223</v>
      </c>
      <c r="E5" s="32">
        <v>500000</v>
      </c>
      <c r="G5" t="s">
        <v>349</v>
      </c>
    </row>
    <row r="6" spans="1:7" x14ac:dyDescent="0.3">
      <c r="A6" s="33" t="s">
        <v>341</v>
      </c>
      <c r="B6" t="s">
        <v>348</v>
      </c>
      <c r="C6" s="31" t="s">
        <v>355</v>
      </c>
      <c r="E6" s="32">
        <v>500000</v>
      </c>
    </row>
    <row r="7" spans="1:7" x14ac:dyDescent="0.3">
      <c r="A7" t="s">
        <v>341</v>
      </c>
      <c r="B7" t="s">
        <v>350</v>
      </c>
      <c r="C7" s="34" t="s">
        <v>363</v>
      </c>
      <c r="E7" s="32">
        <v>500000</v>
      </c>
      <c r="G7" t="s">
        <v>351</v>
      </c>
    </row>
    <row r="8" spans="1:7" x14ac:dyDescent="0.3">
      <c r="A8" t="s">
        <v>341</v>
      </c>
      <c r="B8" t="s">
        <v>350</v>
      </c>
      <c r="C8" s="34" t="s">
        <v>356</v>
      </c>
      <c r="E8" s="32">
        <v>500000</v>
      </c>
    </row>
    <row r="9" spans="1:7" x14ac:dyDescent="0.3">
      <c r="A9" t="s">
        <v>341</v>
      </c>
      <c r="B9" t="s">
        <v>350</v>
      </c>
      <c r="C9" s="34" t="s">
        <v>357</v>
      </c>
      <c r="E9" s="32">
        <v>700000</v>
      </c>
    </row>
    <row r="10" spans="1:7" x14ac:dyDescent="0.3">
      <c r="A10" t="s">
        <v>341</v>
      </c>
      <c r="B10" t="s">
        <v>350</v>
      </c>
      <c r="C10" s="34" t="s">
        <v>358</v>
      </c>
      <c r="E10" s="32">
        <v>200000</v>
      </c>
    </row>
    <row r="11" spans="1:7" x14ac:dyDescent="0.3">
      <c r="A11" t="s">
        <v>341</v>
      </c>
      <c r="B11" t="s">
        <v>350</v>
      </c>
      <c r="C11" s="34" t="s">
        <v>359</v>
      </c>
      <c r="E11" s="32">
        <v>100000</v>
      </c>
    </row>
    <row r="12" spans="1:7" x14ac:dyDescent="0.3">
      <c r="A12" t="s">
        <v>341</v>
      </c>
      <c r="B12" t="s">
        <v>350</v>
      </c>
      <c r="C12" s="34" t="s">
        <v>360</v>
      </c>
      <c r="E12" s="32">
        <v>100000</v>
      </c>
    </row>
    <row r="13" spans="1:7" x14ac:dyDescent="0.3">
      <c r="A13" t="s">
        <v>341</v>
      </c>
      <c r="B13" t="s">
        <v>350</v>
      </c>
      <c r="C13" s="34" t="s">
        <v>361</v>
      </c>
      <c r="E13" s="32">
        <v>100000</v>
      </c>
    </row>
    <row r="14" spans="1:7" x14ac:dyDescent="0.3">
      <c r="A14" t="s">
        <v>341</v>
      </c>
      <c r="B14" t="s">
        <v>350</v>
      </c>
      <c r="C14" s="34" t="s">
        <v>362</v>
      </c>
      <c r="E14" s="32">
        <v>500000</v>
      </c>
    </row>
    <row r="15" spans="1:7" x14ac:dyDescent="0.3">
      <c r="A15" t="s">
        <v>342</v>
      </c>
      <c r="B15" t="s">
        <v>350</v>
      </c>
      <c r="C15" s="35" t="s">
        <v>223</v>
      </c>
      <c r="E15" s="32">
        <v>500000</v>
      </c>
      <c r="G15" t="s">
        <v>352</v>
      </c>
    </row>
    <row r="16" spans="1:7" x14ac:dyDescent="0.3">
      <c r="A16" t="s">
        <v>342</v>
      </c>
      <c r="B16" t="s">
        <v>350</v>
      </c>
      <c r="C16" s="36" t="s">
        <v>288</v>
      </c>
      <c r="E16" s="32">
        <v>400000</v>
      </c>
      <c r="G16" t="s">
        <v>352</v>
      </c>
    </row>
    <row r="17" spans="1:7" x14ac:dyDescent="0.3">
      <c r="A17" t="s">
        <v>342</v>
      </c>
      <c r="B17" t="s">
        <v>350</v>
      </c>
      <c r="C17" s="36" t="s">
        <v>363</v>
      </c>
      <c r="E17" s="32">
        <v>500000</v>
      </c>
      <c r="G17" t="s">
        <v>352</v>
      </c>
    </row>
    <row r="18" spans="1:7" x14ac:dyDescent="0.3">
      <c r="A18" t="s">
        <v>342</v>
      </c>
      <c r="B18" t="s">
        <v>350</v>
      </c>
      <c r="C18" s="36" t="s">
        <v>357</v>
      </c>
      <c r="E18" s="32">
        <v>700000</v>
      </c>
      <c r="G18" t="s">
        <v>352</v>
      </c>
    </row>
    <row r="19" spans="1:7" x14ac:dyDescent="0.3">
      <c r="A19" t="s">
        <v>249</v>
      </c>
      <c r="B19" t="s">
        <v>350</v>
      </c>
      <c r="C19" t="s">
        <v>364</v>
      </c>
      <c r="G19" t="s">
        <v>353</v>
      </c>
    </row>
    <row r="20" spans="1:7" x14ac:dyDescent="0.3">
      <c r="A20" t="s">
        <v>249</v>
      </c>
      <c r="B20" t="s">
        <v>350</v>
      </c>
      <c r="C20" t="s">
        <v>223</v>
      </c>
    </row>
    <row r="21" spans="1:7" x14ac:dyDescent="0.3">
      <c r="A21" t="s">
        <v>249</v>
      </c>
      <c r="B21" t="s">
        <v>348</v>
      </c>
      <c r="C21" s="37" t="s">
        <v>280</v>
      </c>
      <c r="E21" s="37" t="s">
        <v>365</v>
      </c>
      <c r="G21" t="s">
        <v>353</v>
      </c>
    </row>
    <row r="22" spans="1:7" x14ac:dyDescent="0.3">
      <c r="A22" t="s">
        <v>249</v>
      </c>
      <c r="B22" t="s">
        <v>348</v>
      </c>
      <c r="C22" s="31" t="s">
        <v>221</v>
      </c>
    </row>
    <row r="23" spans="1:7" x14ac:dyDescent="0.3">
      <c r="A23" t="s">
        <v>268</v>
      </c>
      <c r="B23" t="s">
        <v>350</v>
      </c>
      <c r="G23" t="s">
        <v>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2026-04-13T08:33:28Z</dcterms:modified>
</cp:coreProperties>
</file>