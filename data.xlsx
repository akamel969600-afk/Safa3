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Dashboard_Map" sheetId="2" state="visible" r:id="rId2"/>
    <sheet xmlns:r="http://schemas.openxmlformats.org/officeDocument/2006/relationships" name="Financial_Overview" sheetId="3" state="visible" r:id="rId3"/>
    <sheet xmlns:r="http://schemas.openxmlformats.org/officeDocument/2006/relationships" name="Cash_Flow" sheetId="4" state="visible" r:id="rId4"/>
    <sheet xmlns:r="http://schemas.openxmlformats.org/officeDocument/2006/relationships" name="Strategy_Operations" sheetId="5" state="visible" r:id="rId5"/>
    <sheet xmlns:r="http://schemas.openxmlformats.org/officeDocument/2006/relationships" name="Pipeline_Revenue" sheetId="6" state="visible" r:id="rId6"/>
    <sheet xmlns:r="http://schemas.openxmlformats.org/officeDocument/2006/relationships" name="Sales_Raw_Opportunities" sheetId="7" state="visible" r:id="rId7"/>
    <sheet xmlns:r="http://schemas.openxmlformats.org/officeDocument/2006/relationships" name="Sales_Raw_Operations" sheetId="8" state="visible" r:id="rId8"/>
    <sheet xmlns:r="http://schemas.openxmlformats.org/officeDocument/2006/relationships" name="Sales_Performance" sheetId="9" state="visible" r:id="rId9"/>
    <sheet xmlns:r="http://schemas.openxmlformats.org/officeDocument/2006/relationships" name="Lists" sheetId="10" state="hidden" r:id="rId10"/>
    <sheet xmlns:r="http://schemas.openxmlformats.org/officeDocument/2006/relationships" name="Sales_Stage_Detail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%"/>
  </numFmts>
  <fonts count="15">
    <font>
      <name val="Calibri"/>
      <color theme="1"/>
      <sz val="11"/>
      <scheme val="minor"/>
    </font>
    <font>
      <name val="Calibri"/>
      <b val="1"/>
      <color rgb="FFFFFFFF"/>
      <sz val="14"/>
      <scheme val="minor"/>
    </font>
    <font/>
    <font>
      <name val="Calibri"/>
      <i val="1"/>
      <color rgb="FF666666"/>
      <sz val="9"/>
      <scheme val="minor"/>
    </font>
    <font>
      <name val="Calibri"/>
      <b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z val="11"/>
    </font>
    <font>
      <name val="Calibri"/>
      <color rgb="FF000000"/>
      <sz val="10"/>
      <scheme val="minor"/>
    </font>
    <font>
      <name val="Calibri"/>
      <color rgb="FF0000FF"/>
      <sz val="10"/>
      <scheme val="minor"/>
    </font>
    <font>
      <name val="Calibri"/>
      <color rgb="FF008000"/>
      <sz val="10"/>
      <scheme val="minor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lightGray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001E4D20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164" fontId="8" fillId="0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center"/>
    </xf>
    <xf numFmtId="164" fontId="10" fillId="0" borderId="4" applyAlignment="1" pivotButton="0" quotePrefix="0" xfId="0">
      <alignment horizontal="right" vertical="center"/>
    </xf>
    <xf numFmtId="164" fontId="9" fillId="0" borderId="4" applyAlignment="1" pivotButton="0" quotePrefix="0" xfId="0">
      <alignment horizontal="right" vertical="center"/>
    </xf>
    <xf numFmtId="164" fontId="10" fillId="0" borderId="4" applyAlignment="1" pivotButton="0" quotePrefix="0" xfId="0">
      <alignment horizontal="right" vertical="center"/>
    </xf>
    <xf numFmtId="165" fontId="9" fillId="0" borderId="4" applyAlignment="1" pivotButton="0" quotePrefix="0" xfId="0">
      <alignment horizontal="right" vertical="center"/>
    </xf>
    <xf numFmtId="9" fontId="9" fillId="0" borderId="4" applyAlignment="1" pivotButton="0" quotePrefix="0" xfId="0">
      <alignment horizontal="right" vertical="center"/>
    </xf>
    <xf numFmtId="164" fontId="11" fillId="0" borderId="4" applyAlignment="1" pivotButton="0" quotePrefix="0" xfId="0">
      <alignment horizontal="right" vertical="center"/>
    </xf>
    <xf numFmtId="164" fontId="11" fillId="0" borderId="4" applyAlignment="1" pivotButton="0" quotePrefix="0" xfId="0">
      <alignment horizontal="right" vertical="center"/>
    </xf>
    <xf numFmtId="0" fontId="7" fillId="2" borderId="5" applyAlignment="1" pivotButton="0" quotePrefix="0" xfId="0">
      <alignment horizontal="center" vertical="center"/>
    </xf>
    <xf numFmtId="164" fontId="11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64" fontId="10" fillId="0" borderId="0" pivotButton="0" quotePrefix="0" xfId="0"/>
    <xf numFmtId="0" fontId="7" fillId="2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vertical="top" wrapText="1"/>
    </xf>
    <xf numFmtId="0" fontId="8" fillId="0" borderId="4" applyAlignment="1" pivotButton="0" quotePrefix="0" xfId="0">
      <alignment horizontal="right" vertical="center"/>
    </xf>
    <xf numFmtId="164" fontId="10" fillId="0" borderId="4" applyAlignment="1" pivotButton="0" quotePrefix="0" xfId="0">
      <alignment horizontal="right" vertical="center"/>
    </xf>
    <xf numFmtId="165" fontId="10" fillId="0" borderId="4" applyAlignment="1" pivotButton="0" quotePrefix="0" xfId="0">
      <alignment horizontal="right" vertical="center"/>
    </xf>
    <xf numFmtId="164" fontId="9" fillId="0" borderId="4" applyAlignment="1" pivotButton="0" quotePrefix="0" xfId="0">
      <alignment horizontal="right" vertical="center"/>
    </xf>
    <xf numFmtId="0" fontId="10" fillId="0" borderId="4" applyAlignment="1" pivotButton="0" quotePrefix="0" xfId="0">
      <alignment horizontal="right" vertical="center"/>
    </xf>
    <xf numFmtId="164" fontId="10" fillId="0" borderId="4" applyAlignment="1" pivotButton="0" quotePrefix="0" xfId="0">
      <alignment horizontal="right" vertical="center"/>
    </xf>
    <xf numFmtId="165" fontId="10" fillId="0" borderId="4" applyAlignment="1" pivotButton="0" quotePrefix="0" xfId="0">
      <alignment horizontal="right" vertical="center"/>
    </xf>
    <xf numFmtId="0" fontId="10" fillId="0" borderId="4" applyAlignment="1" pivotButton="0" quotePrefix="0" xfId="0">
      <alignment horizontal="right" vertical="center"/>
    </xf>
    <xf numFmtId="164" fontId="9" fillId="0" borderId="4" applyAlignment="1" pivotButton="0" quotePrefix="0" xfId="0">
      <alignment horizontal="right" vertical="center"/>
    </xf>
    <xf numFmtId="0" fontId="8" fillId="0" borderId="4" applyAlignment="1" pivotButton="0" quotePrefix="0" xfId="0">
      <alignment vertical="top" wrapText="1"/>
    </xf>
    <xf numFmtId="0" fontId="10" fillId="0" borderId="4" applyAlignment="1" pivotButton="0" quotePrefix="0" xfId="0">
      <alignment horizontal="right" vertical="center"/>
    </xf>
    <xf numFmtId="165" fontId="4" fillId="0" borderId="4" applyAlignment="1" pivotButton="0" quotePrefix="0" xfId="0">
      <alignment horizontal="right" vertical="center"/>
    </xf>
    <xf numFmtId="165" fontId="4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0" fontId="14" fillId="0" borderId="0" pivotButton="0" quotePrefix="0" xfId="0"/>
    <xf numFmtId="0" fontId="2" fillId="0" borderId="0" applyAlignment="1" pivotButton="0" quotePrefix="0" xfId="0">
      <alignment wrapText="1"/>
    </xf>
    <xf numFmtId="0" fontId="12" fillId="5" borderId="0" applyAlignment="1" pivotButton="0" quotePrefix="0" xfId="0">
      <alignment horizontal="center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 defaultTableStyle="TableStyleMedium9" defaultPivotStyle="PivotStyleLight16">
    <tableStyle name="Sales_Raw_Opportunities-style" pivot="0" count="3">
      <tableStyleElement type="headerRow" dxfId="1"/>
      <tableStyleElement type="firstRowStripe" dxfId="2"/>
      <tableStyleElement type="secondRowStripe" dxfId="3"/>
    </tableStyle>
    <tableStyle name="Sales_Raw_Operations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tc={64fc0319-a756-4554-935f-c5a1307e35a1}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2.xml><?xml version="1.0" encoding="utf-8"?>
<comments xmlns="http://schemas.openxmlformats.org/spreadsheetml/2006/main">
  <authors>
    <author>tc={fab62977-1f65-4fb0-a2a8-7ba317e20ff7}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3.xml><?xml version="1.0" encoding="utf-8"?>
<comments xmlns="http://schemas.openxmlformats.org/spreadsheetml/2006/main">
  <authors>
    <author>tc={d7dc55cc-c3b6-4cfa-a690-9337807397b5}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4.xml><?xml version="1.0" encoding="utf-8"?>
<comments xmlns="http://schemas.openxmlformats.org/spreadsheetml/2006/main">
  <authors>
    <author>tc={bbc10585-74ca-4d36-bd88-5fb48e615bd9}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5.xml><?xml version="1.0" encoding="utf-8"?>
<comments xmlns="http://schemas.openxmlformats.org/spreadsheetml/2006/main">
  <authors>
    <author>tc={4286c356-bd7f-441b-97eb-665fc6613f16}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6.xml><?xml version="1.0" encoding="utf-8"?>
<comments xmlns="http://schemas.openxmlformats.org/spreadsheetml/2006/main">
  <authors>
    <author>tc={a1fd4d48-1747-46e2-b167-e86511c3d1c0}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7.xml><?xml version="1.0" encoding="utf-8"?>
<comments xmlns="http://schemas.openxmlformats.org/spreadsheetml/2006/main">
  <authors>
    <author>tc={ef46facc-f092-4171-99ae-fdc0bb0eaced}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8.xml><?xml version="1.0" encoding="utf-8"?>
<comments xmlns="http://schemas.openxmlformats.org/spreadsheetml/2006/main">
  <authors>
    <author>tc={f4c9d034-b94f-47bd-bc5a-ab5a15d69e55}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comments/comment9.xml><?xml version="1.0" encoding="utf-8"?>
<comments xmlns="http://schemas.openxmlformats.org/spreadsheetml/2006/main">
  <authors>
    <author>tc={7b0d5fec-ae68-4472-ae97-916cdf2e7d16}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Structured from the uploaded dashboard HTML source: index (5).html
</t>
      </text>
    </comment>
  </commentList>
</comments>
</file>

<file path=xl/tables/table1.xml><?xml version="1.0" encoding="utf-8"?>
<table xmlns="http://schemas.openxmlformats.org/spreadsheetml/2006/main" id="1" name="Table_1" displayName="Table_1" ref="A3:I23" headerRowCount="1">
  <tableColumns count="9">
    <tableColumn id="1" name="Client"/>
    <tableColumn id="2" name="Opportunity"/>
    <tableColumn id="3" name="BD Lead"/>
    <tableColumn id="4" name="Submitted"/>
    <tableColumn id="5" name="Value_SAR"/>
    <tableColumn id="6" name="Probability_Pct"/>
    <tableColumn id="7" name="Weighted_Value_SAR"/>
    <tableColumn id="8" name="Stage"/>
    <tableColumn id="9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3:C13" headerRowCount="1">
  <tableColumns count="3">
    <tableColumn id="1" name="Operation Item"/>
    <tableColumn id="2" name="Status"/>
    <tableColumn id="3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47" min="1" max="1"/>
    <col width="95" customWidth="1" style="47" min="2" max="2"/>
    <col width="8.710000000000001" customWidth="1" style="47" min="3" max="26"/>
  </cols>
  <sheetData>
    <row r="1">
      <c r="A1" s="48" t="inlineStr">
        <is>
          <t>SAAFAH Dashboard Google Sheets Template</t>
        </is>
      </c>
    </row>
    <row r="2">
      <c r="A2" s="49" t="inlineStr">
        <is>
          <t>Built from the uploaded HTML dashboard structure. Sheets are organized to match the dashboard tabs, including Sales Performance.</t>
        </is>
      </c>
    </row>
    <row r="4">
      <c r="A4" s="5" t="inlineStr">
        <is>
          <t>How to use</t>
        </is>
      </c>
    </row>
    <row r="5">
      <c r="A5" s="6" t="inlineStr">
        <is>
          <t>1. Upload this XLSX file to Google Sheets.</t>
        </is>
      </c>
    </row>
    <row r="6">
      <c r="A6" s="6" t="inlineStr">
        <is>
          <t>2. Update the blue-font input cells and the raw data tables.</t>
        </is>
      </c>
    </row>
    <row r="7">
      <c r="A7" s="6" t="inlineStr">
        <is>
          <t>3. Keep formulas intact; Google Sheets will recalculate automatically.</t>
        </is>
      </c>
    </row>
    <row r="8">
      <c r="A8" s="6" t="inlineStr">
        <is>
          <t>4. Use the Dashboard_Map sheet to connect each dashboard section to the right tab/range.</t>
        </is>
      </c>
    </row>
    <row r="9">
      <c r="A9" s="6" t="inlineStr">
        <is>
          <t>5. Sales Performance has both a page sheet and raw detail sheets for proposals and operations.</t>
        </is>
      </c>
    </row>
    <row r="11">
      <c r="A11" s="50" t="inlineStr">
        <is>
          <t>Workbook Tabs</t>
        </is>
      </c>
    </row>
    <row r="12">
      <c r="A12" s="30" t="inlineStr">
        <is>
          <t>Sheet</t>
        </is>
      </c>
      <c r="B12" s="30" t="inlineStr">
        <is>
          <t>Purpose</t>
        </is>
      </c>
    </row>
    <row r="13">
      <c r="A13" s="31" t="inlineStr">
        <is>
          <t>README</t>
        </is>
      </c>
      <c r="B13" s="42" t="inlineStr">
        <is>
          <t>Usage notes and import guidance</t>
        </is>
      </c>
    </row>
    <row r="14">
      <c r="A14" s="31" t="inlineStr">
        <is>
          <t>Dashboard_Map</t>
        </is>
      </c>
      <c r="B14" s="42" t="inlineStr">
        <is>
          <t>Mapping between dashboard tabs/sections and spreadsheet tabs</t>
        </is>
      </c>
    </row>
    <row r="15">
      <c r="A15" s="31" t="inlineStr">
        <is>
          <t>Financial_Overview</t>
        </is>
      </c>
      <c r="B15" s="42" t="inlineStr">
        <is>
          <t>Quarterly P&amp;L inputs and KPI formulas</t>
        </is>
      </c>
    </row>
    <row r="16">
      <c r="A16" s="31" t="inlineStr">
        <is>
          <t>Cash_Flow</t>
        </is>
      </c>
      <c r="B16" s="42" t="inlineStr">
        <is>
          <t>Quarterly cash flow inputs linked to financial data</t>
        </is>
      </c>
    </row>
    <row r="17">
      <c r="A17" s="31" t="inlineStr">
        <is>
          <t>Strategy_Operations</t>
        </is>
      </c>
      <c r="B17" s="42" t="inlineStr">
        <is>
          <t>Narrative content, service pillars, sectors, action plan, revenue mix</t>
        </is>
      </c>
    </row>
    <row r="18">
      <c r="A18" s="31" t="inlineStr">
        <is>
          <t>Pipeline_Revenue</t>
        </is>
      </c>
      <c r="B18" s="42" t="inlineStr">
        <is>
          <t>Active proposals, monthly revenue ramp, and collection schedule</t>
        </is>
      </c>
    </row>
    <row r="19">
      <c r="A19" s="31" t="inlineStr">
        <is>
          <t>Sales_Performance</t>
        </is>
      </c>
      <c r="B19" s="42" t="inlineStr">
        <is>
          <t>Sales KPI card inputs, funnel, probability buckets, top clients, and key insights</t>
        </is>
      </c>
    </row>
    <row r="20">
      <c r="A20" s="31" t="inlineStr">
        <is>
          <t>Sales_Raw_Opportunities</t>
        </is>
      </c>
      <c r="B20" s="42" t="inlineStr">
        <is>
          <t>Detailed proposals table used by sales page calculations</t>
        </is>
      </c>
    </row>
    <row r="21" ht="15.75" customHeight="1" s="47">
      <c r="A21" s="31" t="inlineStr">
        <is>
          <t>Sales_Raw_Operations</t>
        </is>
      </c>
      <c r="B21" s="42" t="inlineStr">
        <is>
          <t>Operations readiness table used by sales page</t>
        </is>
      </c>
    </row>
    <row r="22" ht="15.75" customHeight="1" s="47"/>
    <row r="23" ht="15.75" customHeight="1" s="47"/>
    <row r="24" ht="15.75" customHeight="1" s="47">
      <c r="A24" s="5" t="inlineStr">
        <is>
          <t>Source Reference</t>
        </is>
      </c>
    </row>
    <row r="25" ht="15.75" customHeight="1" s="47">
      <c r="A25" s="6" t="inlineStr">
        <is>
          <t>Source dashboard: uploaded HTML file (index (5).html)</t>
        </is>
      </c>
    </row>
    <row r="26" ht="15.75" customHeight="1" s="47">
      <c r="A26" s="6" t="inlineStr">
        <is>
          <t>Note: the HTML already contains a Sales Performance tab; this workbook includes a dedicated matching sheet plus raw sales data sheets.</t>
        </is>
      </c>
    </row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3">
    <mergeCell ref="A2:F2"/>
    <mergeCell ref="A1:F1"/>
    <mergeCell ref="A11:D11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ColWidth="14.43" defaultRowHeight="15" customHeight="1"/>
  <cols>
    <col width="22" customWidth="1" style="47" min="1" max="1"/>
    <col width="28" customWidth="1" style="47" min="2" max="3"/>
    <col width="24" customWidth="1" style="47" min="4" max="4"/>
    <col width="18" customWidth="1" style="47" min="5" max="5"/>
    <col width="40" customWidth="1" style="47" min="6" max="6"/>
    <col width="8.710000000000001" customWidth="1" style="47" min="7" max="26"/>
  </cols>
  <sheetData>
    <row r="1">
      <c r="A1" s="48" t="inlineStr">
        <is>
          <t>Dashboard Section Map</t>
        </is>
      </c>
    </row>
    <row r="3">
      <c r="A3" s="30" t="inlineStr">
        <is>
          <t>Dashboard Page</t>
        </is>
      </c>
      <c r="B3" s="30" t="inlineStr">
        <is>
          <t>Dashboard Element</t>
        </is>
      </c>
      <c r="C3" s="30" t="inlineStr">
        <is>
          <t>Spreadsheet Tab</t>
        </is>
      </c>
      <c r="D3" s="30" t="inlineStr">
        <is>
          <t>Range / Section</t>
        </is>
      </c>
      <c r="E3" s="30" t="inlineStr">
        <is>
          <t>Update Type</t>
        </is>
      </c>
      <c r="F3" s="30" t="inlineStr">
        <is>
          <t>Notes</t>
        </is>
      </c>
    </row>
    <row r="4">
      <c r="A4" s="11" t="inlineStr">
        <is>
          <t>Financial Overview</t>
        </is>
      </c>
      <c r="B4" s="12" t="inlineStr">
        <is>
          <t>KPI Cards</t>
        </is>
      </c>
      <c r="C4" s="11" t="inlineStr">
        <is>
          <t>Financial_Overview</t>
        </is>
      </c>
      <c r="D4" s="42" t="inlineStr">
        <is>
          <t>A4:D8</t>
        </is>
      </c>
      <c r="E4" s="42" t="inlineStr">
        <is>
          <t>Formula-driven</t>
        </is>
      </c>
      <c r="F4" s="42" t="inlineStr">
        <is>
          <t>Revenue, GP, Net P/L, Overheads</t>
        </is>
      </c>
    </row>
    <row r="5">
      <c r="A5" s="11" t="inlineStr">
        <is>
          <t>Financial Overview</t>
        </is>
      </c>
      <c r="B5" s="12" t="inlineStr">
        <is>
          <t>P&amp;L Summary Table</t>
        </is>
      </c>
      <c r="C5" s="11" t="inlineStr">
        <is>
          <t>Financial_Overview</t>
        </is>
      </c>
      <c r="D5" s="42" t="inlineStr">
        <is>
          <t>A10:F16</t>
        </is>
      </c>
      <c r="E5" s="42" t="inlineStr">
        <is>
          <t>Input + Formula</t>
        </is>
      </c>
      <c r="F5" s="42" t="inlineStr">
        <is>
          <t>Update revenue, cost of revenue, overheads</t>
        </is>
      </c>
    </row>
    <row r="6">
      <c r="A6" s="11" t="inlineStr">
        <is>
          <t>Cash Flow</t>
        </is>
      </c>
      <c r="B6" s="12" t="inlineStr">
        <is>
          <t>KPI Cards</t>
        </is>
      </c>
      <c r="C6" s="11" t="inlineStr">
        <is>
          <t>Cash_Flow</t>
        </is>
      </c>
      <c r="D6" s="42" t="inlineStr">
        <is>
          <t>A4:D8</t>
        </is>
      </c>
      <c r="E6" s="42" t="inlineStr">
        <is>
          <t>Formula-driven</t>
        </is>
      </c>
      <c r="F6" s="42" t="inlineStr">
        <is>
          <t>Opening, inflow, outflow, closing</t>
        </is>
      </c>
    </row>
    <row r="7">
      <c r="A7" s="11" t="inlineStr">
        <is>
          <t>Cash Flow</t>
        </is>
      </c>
      <c r="B7" s="12" t="inlineStr">
        <is>
          <t>Cash Flow Summary Table</t>
        </is>
      </c>
      <c r="C7" s="11" t="inlineStr">
        <is>
          <t>Cash_Flow</t>
        </is>
      </c>
      <c r="D7" s="42" t="inlineStr">
        <is>
          <t>A10:F19</t>
        </is>
      </c>
      <c r="E7" s="42" t="inlineStr">
        <is>
          <t>Input + Link</t>
        </is>
      </c>
      <c r="F7" s="42" t="inlineStr">
        <is>
          <t>Collections editable; expenses linked to Financial_Overview</t>
        </is>
      </c>
    </row>
    <row r="8">
      <c r="A8" s="11" t="inlineStr">
        <is>
          <t>Strategy &amp; Operations</t>
        </is>
      </c>
      <c r="B8" s="12" t="inlineStr">
        <is>
          <t>Mission / Narrative</t>
        </is>
      </c>
      <c r="C8" s="11" t="inlineStr">
        <is>
          <t>Strategy_Operations</t>
        </is>
      </c>
      <c r="D8" s="42" t="inlineStr">
        <is>
          <t>A4:B5</t>
        </is>
      </c>
      <c r="E8" s="42" t="inlineStr">
        <is>
          <t>Editable text</t>
        </is>
      </c>
      <c r="F8" s="42" t="inlineStr">
        <is>
          <t>Mission and context</t>
        </is>
      </c>
    </row>
    <row r="9">
      <c r="A9" s="11" t="inlineStr">
        <is>
          <t>Strategy &amp; Operations</t>
        </is>
      </c>
      <c r="B9" s="12" t="inlineStr">
        <is>
          <t>Service Pillars</t>
        </is>
      </c>
      <c r="C9" s="11" t="inlineStr">
        <is>
          <t>Strategy_Operations</t>
        </is>
      </c>
      <c r="D9" s="42" t="inlineStr">
        <is>
          <t>A8:B10</t>
        </is>
      </c>
      <c r="E9" s="42" t="inlineStr">
        <is>
          <t>Editable text</t>
        </is>
      </c>
      <c r="F9" s="42" t="inlineStr">
        <is>
          <t>3 pillars</t>
        </is>
      </c>
    </row>
    <row r="10">
      <c r="A10" s="11" t="inlineStr">
        <is>
          <t>Strategy &amp; Operations</t>
        </is>
      </c>
      <c r="B10" s="12" t="inlineStr">
        <is>
          <t>Target Sectors</t>
        </is>
      </c>
      <c r="C10" s="11" t="inlineStr">
        <is>
          <t>Strategy_Operations</t>
        </is>
      </c>
      <c r="D10" s="42" t="inlineStr">
        <is>
          <t>A13:C15</t>
        </is>
      </c>
      <c r="E10" s="42" t="inlineStr">
        <is>
          <t>Editable text</t>
        </is>
      </c>
      <c r="F10" s="42" t="inlineStr">
        <is>
          <t>Government and non-government</t>
        </is>
      </c>
    </row>
    <row r="11">
      <c r="A11" s="11" t="inlineStr">
        <is>
          <t>Strategy &amp; Operations</t>
        </is>
      </c>
      <c r="B11" s="12" t="inlineStr">
        <is>
          <t>Action Plan / Goals</t>
        </is>
      </c>
      <c r="C11" s="11" t="inlineStr">
        <is>
          <t>Strategy_Operations</t>
        </is>
      </c>
      <c r="D11" s="42" t="inlineStr">
        <is>
          <t>A18:B23</t>
        </is>
      </c>
      <c r="E11" s="42" t="inlineStr">
        <is>
          <t>Editable text</t>
        </is>
      </c>
      <c r="F11" s="42" t="inlineStr">
        <is>
          <t>Approach and goals</t>
        </is>
      </c>
    </row>
    <row r="12">
      <c r="A12" s="11" t="inlineStr">
        <is>
          <t>Strategy &amp; Operations</t>
        </is>
      </c>
      <c r="B12" s="12" t="inlineStr">
        <is>
          <t>Revenue Mix</t>
        </is>
      </c>
      <c r="C12" s="11" t="inlineStr">
        <is>
          <t>Strategy_Operations</t>
        </is>
      </c>
      <c r="D12" s="42" t="inlineStr">
        <is>
          <t>E8:G10</t>
        </is>
      </c>
      <c r="E12" s="42" t="inlineStr">
        <is>
          <t>Formula-driven</t>
        </is>
      </c>
      <c r="F12" s="42" t="inlineStr">
        <is>
          <t>Linked to Pipeline_Revenue monthly revenue</t>
        </is>
      </c>
    </row>
    <row r="13">
      <c r="A13" s="11" t="inlineStr">
        <is>
          <t>Pipeline &amp; Revenue</t>
        </is>
      </c>
      <c r="B13" s="12" t="inlineStr">
        <is>
          <t>Summary KPIs</t>
        </is>
      </c>
      <c r="C13" s="11" t="inlineStr">
        <is>
          <t>Pipeline_Revenue</t>
        </is>
      </c>
      <c r="D13" s="42" t="inlineStr">
        <is>
          <t>A4:C6</t>
        </is>
      </c>
      <c r="E13" s="42" t="inlineStr">
        <is>
          <t>Mixed</t>
        </is>
      </c>
      <c r="F13" s="42" t="inlineStr">
        <is>
          <t>Annual pipeline formula + manual Q1-Q2 metric</t>
        </is>
      </c>
    </row>
    <row r="14">
      <c r="A14" s="11" t="inlineStr">
        <is>
          <t>Pipeline &amp; Revenue</t>
        </is>
      </c>
      <c r="B14" s="12" t="inlineStr">
        <is>
          <t>Monthly Revenue Ramp</t>
        </is>
      </c>
      <c r="C14" s="11" t="inlineStr">
        <is>
          <t>Pipeline_Revenue</t>
        </is>
      </c>
      <c r="D14" s="42" t="inlineStr">
        <is>
          <t>A10:E23</t>
        </is>
      </c>
      <c r="E14" s="42" t="inlineStr">
        <is>
          <t>Input + Formula</t>
        </is>
      </c>
      <c r="F14" s="42" t="inlineStr">
        <is>
          <t>Monthly advisory/training revenue</t>
        </is>
      </c>
    </row>
    <row r="15">
      <c r="A15" s="11" t="inlineStr">
        <is>
          <t>Pipeline &amp; Revenue</t>
        </is>
      </c>
      <c r="B15" s="12" t="inlineStr">
        <is>
          <t>Active Proposals</t>
        </is>
      </c>
      <c r="C15" s="11" t="inlineStr">
        <is>
          <t>Pipeline_Revenue</t>
        </is>
      </c>
      <c r="D15" s="42" t="inlineStr">
        <is>
          <t>G10:I20</t>
        </is>
      </c>
      <c r="E15" s="42" t="inlineStr">
        <is>
          <t>Editable table</t>
        </is>
      </c>
      <c r="F15" s="42" t="inlineStr">
        <is>
          <t>Proposal list shown in dashboard</t>
        </is>
      </c>
    </row>
    <row r="16">
      <c r="A16" s="11" t="inlineStr">
        <is>
          <t>Pipeline &amp; Revenue</t>
        </is>
      </c>
      <c r="B16" s="12" t="inlineStr">
        <is>
          <t>Collection Schedule</t>
        </is>
      </c>
      <c r="C16" s="11" t="inlineStr">
        <is>
          <t>Pipeline_Revenue</t>
        </is>
      </c>
      <c r="D16" s="42" t="inlineStr">
        <is>
          <t>A26:F29</t>
        </is>
      </c>
      <c r="E16" s="42" t="inlineStr">
        <is>
          <t>Linked</t>
        </is>
      </c>
      <c r="F16" s="42" t="inlineStr">
        <is>
          <t>Directly linked to Cash_Flow collections</t>
        </is>
      </c>
    </row>
    <row r="17">
      <c r="A17" s="11" t="inlineStr">
        <is>
          <t>Sales Performance</t>
        </is>
      </c>
      <c r="B17" s="12" t="inlineStr">
        <is>
          <t>KPI Cards</t>
        </is>
      </c>
      <c r="C17" s="11" t="inlineStr">
        <is>
          <t>Sales_Performance</t>
        </is>
      </c>
      <c r="D17" s="42" t="inlineStr">
        <is>
          <t>A4:G8</t>
        </is>
      </c>
      <c r="E17" s="42" t="inlineStr">
        <is>
          <t>Editable source table</t>
        </is>
      </c>
      <c r="F17" s="42" t="inlineStr">
        <is>
          <t>Matches dashboard card values incl. month/week notes</t>
        </is>
      </c>
    </row>
    <row r="18">
      <c r="A18" s="11" t="inlineStr">
        <is>
          <t>Sales Performance</t>
        </is>
      </c>
      <c r="B18" s="12" t="inlineStr">
        <is>
          <t>Sales Funnel</t>
        </is>
      </c>
      <c r="C18" s="11" t="inlineStr">
        <is>
          <t>Sales_Performance</t>
        </is>
      </c>
      <c r="D18" s="42" t="inlineStr">
        <is>
          <t>A10:E14</t>
        </is>
      </c>
      <c r="E18" s="42" t="inlineStr">
        <is>
          <t>Linked / editable</t>
        </is>
      </c>
      <c r="F18" s="42" t="inlineStr">
        <is>
          <t>Feeds funnel counts and values</t>
        </is>
      </c>
    </row>
    <row r="19">
      <c r="A19" s="11" t="inlineStr">
        <is>
          <t>Sales Performance</t>
        </is>
      </c>
      <c r="B19" s="12" t="inlineStr">
        <is>
          <t>Probability Breakdown</t>
        </is>
      </c>
      <c r="C19" s="11" t="inlineStr">
        <is>
          <t>Sales_Performance</t>
        </is>
      </c>
      <c r="D19" s="42" t="inlineStr">
        <is>
          <t>G4:I14</t>
        </is>
      </c>
      <c r="E19" s="42" t="inlineStr">
        <is>
          <t>Formula-driven</t>
        </is>
      </c>
      <c r="F19" s="42" t="inlineStr">
        <is>
          <t>Counts probabilities from raw opportunities</t>
        </is>
      </c>
    </row>
    <row r="20">
      <c r="A20" s="11" t="inlineStr">
        <is>
          <t>Sales Performance</t>
        </is>
      </c>
      <c r="B20" s="12" t="inlineStr">
        <is>
          <t>Top Clients</t>
        </is>
      </c>
      <c r="C20" s="11" t="inlineStr">
        <is>
          <t>Sales_Performance</t>
        </is>
      </c>
      <c r="D20" s="42" t="inlineStr">
        <is>
          <t>G16:I24</t>
        </is>
      </c>
      <c r="E20" s="42" t="inlineStr">
        <is>
          <t>Formula-driven</t>
        </is>
      </c>
      <c r="F20" s="42" t="inlineStr">
        <is>
          <t>Uses client names + SUMIF against raw opportunities</t>
        </is>
      </c>
    </row>
    <row r="21" ht="15.75" customHeight="1" s="47">
      <c r="A21" s="11" t="inlineStr">
        <is>
          <t>Sales Performance</t>
        </is>
      </c>
      <c r="B21" s="12" t="inlineStr">
        <is>
          <t>Stage Detail Breakdown</t>
        </is>
      </c>
      <c r="C21" s="11" t="inlineStr">
        <is>
          <t>Sales_Stage_Details</t>
        </is>
      </c>
      <c r="D21" s="42" t="inlineStr">
        <is>
          <t>A4:G200</t>
        </is>
      </c>
      <c r="E21" s="42" t="inlineStr">
        <is>
          <t>Editable feed</t>
        </is>
      </c>
      <c r="F21" s="42" t="inlineStr">
        <is>
          <t>Client-level this month / this week detail for Leads, Active Proposal, Submitted, Won</t>
        </is>
      </c>
    </row>
    <row r="22" ht="15.75" customHeight="1" s="47">
      <c r="A22" s="11" t="inlineStr">
        <is>
          <t>Sales Performance</t>
        </is>
      </c>
      <c r="B22" s="12" t="inlineStr">
        <is>
          <t>Submitted Proposals</t>
        </is>
      </c>
      <c r="C22" s="11" t="inlineStr">
        <is>
          <t>Sales_Raw_Opportunities</t>
        </is>
      </c>
      <c r="D22" s="42" t="inlineStr">
        <is>
          <t>A3:I22</t>
        </is>
      </c>
      <c r="E22" s="42" t="inlineStr">
        <is>
          <t>Editable raw table</t>
        </is>
      </c>
      <c r="F22" s="42" t="inlineStr">
        <is>
          <t>Maintained in raw sheet</t>
        </is>
      </c>
    </row>
    <row r="23" ht="15.75" customHeight="1" s="47">
      <c r="A23" s="13" t="inlineStr">
        <is>
          <t>Sales Performance</t>
        </is>
      </c>
      <c r="B23" s="14" t="inlineStr">
        <is>
          <t>Operations Readiness</t>
        </is>
      </c>
      <c r="C23" s="13" t="inlineStr">
        <is>
          <t>Sales_Raw_Operations</t>
        </is>
      </c>
      <c r="D23" s="15" t="inlineStr">
        <is>
          <t>A3:C13</t>
        </is>
      </c>
      <c r="E23" s="15" t="inlineStr">
        <is>
          <t>Editable raw table</t>
        </is>
      </c>
      <c r="F23" s="15" t="inlineStr">
        <is>
          <t>Maintained in raw sheet</t>
        </is>
      </c>
    </row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F1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4.43" defaultRowHeight="15" customHeight="1"/>
  <cols>
    <col width="24" customWidth="1" style="47" min="1" max="1"/>
    <col width="14" customWidth="1" style="47" min="2" max="5"/>
    <col width="16" customWidth="1" style="47" min="6" max="6"/>
    <col width="8.710000000000001" customWidth="1" style="47" min="7" max="26"/>
  </cols>
  <sheetData>
    <row r="1">
      <c r="A1" s="48" t="inlineStr">
        <is>
          <t>Financial Overview</t>
        </is>
      </c>
    </row>
    <row r="2">
      <c r="A2" s="49" t="inlineStr">
        <is>
          <t>Quarterly P&amp;L structure for the dashboard financial tab.</t>
        </is>
      </c>
    </row>
    <row r="3">
      <c r="A3" s="50" t="inlineStr">
        <is>
          <t>KPI Cards</t>
        </is>
      </c>
    </row>
    <row r="4">
      <c r="A4" s="30" t="inlineStr">
        <is>
          <t>KPI</t>
        </is>
      </c>
      <c r="B4" s="30" t="inlineStr">
        <is>
          <t>Value</t>
        </is>
      </c>
      <c r="C4" s="30" t="inlineStr">
        <is>
          <t>Unit</t>
        </is>
      </c>
      <c r="D4" s="30" t="inlineStr">
        <is>
          <t>Source</t>
        </is>
      </c>
    </row>
    <row r="5">
      <c r="A5" s="31" t="inlineStr">
        <is>
          <t>Revenue 2026</t>
        </is>
      </c>
      <c r="B5" s="16">
        <f>F11</f>
        <v/>
      </c>
      <c r="C5" s="33" t="inlineStr">
        <is>
          <t>SAR</t>
        </is>
      </c>
      <c r="D5" s="33" t="inlineStr">
        <is>
          <t>Year total revenue</t>
        </is>
      </c>
    </row>
    <row r="6">
      <c r="A6" s="31" t="inlineStr">
        <is>
          <t>Gross Profit 2026</t>
        </is>
      </c>
      <c r="B6" s="16">
        <f>F13</f>
        <v/>
      </c>
      <c r="C6" s="33" t="inlineStr">
        <is>
          <t>SAR</t>
        </is>
      </c>
      <c r="D6" s="33" t="inlineStr">
        <is>
          <t>Year total gross profit</t>
        </is>
      </c>
    </row>
    <row r="7">
      <c r="A7" s="31" t="inlineStr">
        <is>
          <t>Net P/L 2026</t>
        </is>
      </c>
      <c r="B7" s="16">
        <f>F16</f>
        <v/>
      </c>
      <c r="C7" s="33" t="inlineStr">
        <is>
          <t>SAR</t>
        </is>
      </c>
      <c r="D7" s="33" t="inlineStr">
        <is>
          <t>Year total net profit / loss</t>
        </is>
      </c>
    </row>
    <row r="8">
      <c r="A8" s="31" t="inlineStr">
        <is>
          <t>Overheads 2026</t>
        </is>
      </c>
      <c r="B8" s="16">
        <f>F15</f>
        <v/>
      </c>
      <c r="C8" s="33" t="inlineStr">
        <is>
          <t>SAR</t>
        </is>
      </c>
      <c r="D8" s="33" t="inlineStr">
        <is>
          <t>Year total overheads</t>
        </is>
      </c>
    </row>
    <row r="9">
      <c r="A9" s="50" t="inlineStr">
        <is>
          <t>P&amp;L Summary — Quarterly Forecast 2026</t>
        </is>
      </c>
    </row>
    <row r="10">
      <c r="A10" s="30" t="inlineStr">
        <is>
          <t>Description</t>
        </is>
      </c>
      <c r="B10" s="30" t="inlineStr">
        <is>
          <t>Q1</t>
        </is>
      </c>
      <c r="C10" s="30" t="inlineStr">
        <is>
          <t>Q2</t>
        </is>
      </c>
      <c r="D10" s="30" t="inlineStr">
        <is>
          <t>Q3</t>
        </is>
      </c>
      <c r="E10" s="30" t="inlineStr">
        <is>
          <t>Q4</t>
        </is>
      </c>
      <c r="F10" s="30" t="inlineStr">
        <is>
          <t>Year 2026</t>
        </is>
      </c>
    </row>
    <row r="11">
      <c r="A11" s="31" t="inlineStr">
        <is>
          <t>Revenue</t>
        </is>
      </c>
      <c r="B11" s="38" t="n">
        <v>0</v>
      </c>
      <c r="C11" s="38" t="n">
        <v>560000</v>
      </c>
      <c r="D11" s="38" t="n">
        <v>1043593.75</v>
      </c>
      <c r="E11" s="38" t="n">
        <v>1443782.5</v>
      </c>
      <c r="F11" s="41">
        <f>SUM(B11:E11)</f>
        <v/>
      </c>
    </row>
    <row r="12">
      <c r="A12" s="31" t="inlineStr">
        <is>
          <t>Cost of Revenue</t>
        </is>
      </c>
      <c r="B12" s="38" t="n"/>
      <c r="C12" s="38" t="n">
        <v>-336000</v>
      </c>
      <c r="D12" s="38" t="n">
        <v>-626156.25</v>
      </c>
      <c r="E12" s="38" t="n">
        <v>-866269.5</v>
      </c>
      <c r="F12" s="41">
        <f>SUM(B12:E12)</f>
        <v/>
      </c>
    </row>
    <row r="13">
      <c r="A13" s="31" t="inlineStr">
        <is>
          <t>Gross Profit</t>
        </is>
      </c>
      <c r="B13" s="41">
        <f>B11+B12</f>
        <v/>
      </c>
      <c r="C13" s="41">
        <f>C11+C12</f>
        <v/>
      </c>
      <c r="D13" s="41">
        <f>D11+D12</f>
        <v/>
      </c>
      <c r="E13" s="41">
        <f>E11+E12</f>
        <v/>
      </c>
      <c r="F13" s="41">
        <f>SUM(B13:E13)</f>
        <v/>
      </c>
    </row>
    <row r="14">
      <c r="A14" s="31" t="inlineStr">
        <is>
          <t>GP %</t>
        </is>
      </c>
      <c r="B14" s="21">
        <f>IFERROR(B13/B11,0)</f>
        <v/>
      </c>
      <c r="C14" s="21">
        <f>IFERROR(C13/C11,0)</f>
        <v/>
      </c>
      <c r="D14" s="21">
        <f>IFERROR(D13/D11,0)</f>
        <v/>
      </c>
      <c r="E14" s="21">
        <f>IFERROR(E13/E11,0)</f>
        <v/>
      </c>
      <c r="F14" s="22">
        <f>IFERROR(F13/F11,0)</f>
        <v/>
      </c>
    </row>
    <row r="15">
      <c r="A15" s="31" t="inlineStr">
        <is>
          <t>Overheads</t>
        </is>
      </c>
      <c r="B15" s="38" t="n">
        <v>-775035</v>
      </c>
      <c r="C15" s="38" t="n">
        <v>-825035</v>
      </c>
      <c r="D15" s="38" t="n">
        <v>-775035</v>
      </c>
      <c r="E15" s="38" t="n">
        <v>-795035</v>
      </c>
      <c r="F15" s="41">
        <f>SUM(B15:E15)</f>
        <v/>
      </c>
    </row>
    <row r="16">
      <c r="A16" s="31" t="inlineStr">
        <is>
          <t>Net Profit / Loss</t>
        </is>
      </c>
      <c r="B16" s="41">
        <f>B13+B15</f>
        <v/>
      </c>
      <c r="C16" s="41">
        <f>C13+C15</f>
        <v/>
      </c>
      <c r="D16" s="41">
        <f>D13+D15</f>
        <v/>
      </c>
      <c r="E16" s="41">
        <f>E13+E15</f>
        <v/>
      </c>
      <c r="F16" s="41">
        <f>F13+F15</f>
        <v/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4.43" defaultRowHeight="15" customHeight="1"/>
  <cols>
    <col width="24" customWidth="1" style="47" min="1" max="1"/>
    <col width="14" customWidth="1" style="47" min="2" max="5"/>
    <col width="16" customWidth="1" style="47" min="6" max="6"/>
    <col width="8.710000000000001" customWidth="1" style="47" min="7" max="26"/>
  </cols>
  <sheetData>
    <row r="1">
      <c r="A1" s="48" t="inlineStr">
        <is>
          <t>Cash Flow</t>
        </is>
      </c>
    </row>
    <row r="2">
      <c r="A2" s="49" t="inlineStr">
        <is>
          <t>Quarterly cash flow structure for the dashboard cash flow tab.</t>
        </is>
      </c>
    </row>
    <row r="3">
      <c r="A3" s="50" t="inlineStr">
        <is>
          <t>KPI Cards</t>
        </is>
      </c>
    </row>
    <row r="4">
      <c r="A4" s="30" t="inlineStr">
        <is>
          <t>KPI</t>
        </is>
      </c>
      <c r="B4" s="30" t="inlineStr">
        <is>
          <t>Value</t>
        </is>
      </c>
      <c r="C4" s="30" t="inlineStr">
        <is>
          <t>Unit</t>
        </is>
      </c>
      <c r="D4" s="30" t="inlineStr">
        <is>
          <t>Source</t>
        </is>
      </c>
    </row>
    <row r="5">
      <c r="A5" s="31" t="inlineStr">
        <is>
          <t>Opening Balance</t>
        </is>
      </c>
      <c r="B5" s="16">
        <f>B11</f>
        <v/>
      </c>
      <c r="C5" s="33" t="inlineStr">
        <is>
          <t>SAR</t>
        </is>
      </c>
      <c r="D5" s="33" t="inlineStr">
        <is>
          <t>Opening cash at start of year</t>
        </is>
      </c>
    </row>
    <row r="6">
      <c r="A6" s="31" t="inlineStr">
        <is>
          <t>Total Cash Inflow</t>
        </is>
      </c>
      <c r="B6" s="16">
        <f>F14</f>
        <v/>
      </c>
      <c r="C6" s="33" t="inlineStr">
        <is>
          <t>SAR</t>
        </is>
      </c>
      <c r="D6" s="33" t="inlineStr">
        <is>
          <t>Year total collections</t>
        </is>
      </c>
    </row>
    <row r="7">
      <c r="A7" s="31" t="inlineStr">
        <is>
          <t>Total Cash Outflow</t>
        </is>
      </c>
      <c r="B7" s="16">
        <f>F15+F16</f>
        <v/>
      </c>
      <c r="C7" s="33" t="inlineStr">
        <is>
          <t>SAR</t>
        </is>
      </c>
      <c r="D7" s="33" t="inlineStr">
        <is>
          <t>Cost of revenue + G&amp;A expenses</t>
        </is>
      </c>
    </row>
    <row r="8">
      <c r="A8" s="31" t="inlineStr">
        <is>
          <t>Closing Balance</t>
        </is>
      </c>
      <c r="B8" s="16">
        <f>F18</f>
        <v/>
      </c>
      <c r="C8" s="33" t="inlineStr">
        <is>
          <t>SAR</t>
        </is>
      </c>
      <c r="D8" s="33" t="inlineStr">
        <is>
          <t>Year-end closing cash position</t>
        </is>
      </c>
    </row>
    <row r="9">
      <c r="A9" s="50" t="inlineStr">
        <is>
          <t>Cash Flow Summary — Quarterly 2026</t>
        </is>
      </c>
    </row>
    <row r="10">
      <c r="A10" s="30" t="inlineStr">
        <is>
          <t>Description</t>
        </is>
      </c>
      <c r="B10" s="30" t="inlineStr">
        <is>
          <t>Q1</t>
        </is>
      </c>
      <c r="C10" s="30" t="inlineStr">
        <is>
          <t>Q2</t>
        </is>
      </c>
      <c r="D10" s="30" t="inlineStr">
        <is>
          <t>Q3</t>
        </is>
      </c>
      <c r="E10" s="30" t="inlineStr">
        <is>
          <t>Q4</t>
        </is>
      </c>
      <c r="F10" s="30" t="inlineStr">
        <is>
          <t>Year 2026</t>
        </is>
      </c>
    </row>
    <row r="11">
      <c r="A11" s="31" t="inlineStr">
        <is>
          <t>Opening Balance</t>
        </is>
      </c>
      <c r="B11" s="38" t="n">
        <v>581455</v>
      </c>
      <c r="C11" s="24">
        <f>B18</f>
        <v/>
      </c>
      <c r="D11" s="24">
        <f>C18</f>
        <v/>
      </c>
      <c r="E11" s="24">
        <f>D18</f>
        <v/>
      </c>
      <c r="F11" s="41">
        <f>B11</f>
        <v/>
      </c>
    </row>
    <row r="12">
      <c r="A12" s="31" t="inlineStr">
        <is>
          <t>Advisory Collections</t>
        </is>
      </c>
      <c r="B12" s="38" t="n">
        <v>0</v>
      </c>
      <c r="C12" s="38" t="n">
        <v>30000</v>
      </c>
      <c r="D12" s="38" t="n">
        <v>421125</v>
      </c>
      <c r="E12" s="38" t="n">
        <v>778182.87</v>
      </c>
      <c r="F12" s="38">
        <f>SUM(B12:E12)</f>
        <v/>
      </c>
    </row>
    <row r="13">
      <c r="A13" s="31" t="inlineStr">
        <is>
          <t>Training Collections</t>
        </is>
      </c>
      <c r="B13" s="38" t="n">
        <v>0</v>
      </c>
      <c r="C13" s="38" t="n">
        <v>248000</v>
      </c>
      <c r="D13" s="38" t="n">
        <v>296375</v>
      </c>
      <c r="E13" s="38" t="n">
        <v>439660.88</v>
      </c>
      <c r="F13" s="38">
        <f>SUM(B13:E13)</f>
        <v/>
      </c>
    </row>
    <row r="14">
      <c r="A14" s="31" t="inlineStr">
        <is>
          <t>Total Cash Inflow</t>
        </is>
      </c>
      <c r="B14" s="41">
        <f>B12+B13</f>
        <v/>
      </c>
      <c r="C14" s="41">
        <f>C12+C13</f>
        <v/>
      </c>
      <c r="D14" s="41">
        <f>D12+D13</f>
        <v/>
      </c>
      <c r="E14" s="41">
        <f>E12+E13</f>
        <v/>
      </c>
      <c r="F14" s="41">
        <f>SUM(B14:E14)</f>
        <v/>
      </c>
    </row>
    <row r="15">
      <c r="A15" s="31" t="inlineStr">
        <is>
          <t>Cost of Revenue</t>
        </is>
      </c>
      <c r="B15" s="24">
        <f>Financial_Overview!B12</f>
        <v/>
      </c>
      <c r="C15" s="24">
        <f>Financial_Overview!C12</f>
        <v/>
      </c>
      <c r="D15" s="24">
        <f>Financial_Overview!D12</f>
        <v/>
      </c>
      <c r="E15" s="24">
        <f>Financial_Overview!E12</f>
        <v/>
      </c>
      <c r="F15" s="24">
        <f>SUM(B15:E15)</f>
        <v/>
      </c>
    </row>
    <row r="16">
      <c r="A16" s="31" t="inlineStr">
        <is>
          <t>G&amp;A Expenses</t>
        </is>
      </c>
      <c r="B16" s="24" t="n">
        <v>-667675.6899999999</v>
      </c>
      <c r="C16" s="24">
        <f>Financial_Overview!C15</f>
        <v/>
      </c>
      <c r="D16" s="24">
        <f>Financial_Overview!D15</f>
        <v/>
      </c>
      <c r="E16" s="24">
        <f>Financial_Overview!E15</f>
        <v/>
      </c>
      <c r="F16" s="24">
        <f>SUM(B16:E16)</f>
        <v/>
      </c>
    </row>
    <row r="17">
      <c r="A17" s="31" t="inlineStr">
        <is>
          <t>Net Cash Flow</t>
        </is>
      </c>
      <c r="B17" s="41">
        <f>B14+B15+B16</f>
        <v/>
      </c>
      <c r="C17" s="41">
        <f>C14+C15+C16</f>
        <v/>
      </c>
      <c r="D17" s="41">
        <f>D14+D15+D16</f>
        <v/>
      </c>
      <c r="E17" s="41">
        <f>E14+E15+E16</f>
        <v/>
      </c>
      <c r="F17" s="41">
        <f>SUM(B17:E17)</f>
        <v/>
      </c>
    </row>
    <row r="18">
      <c r="A18" s="31" t="inlineStr">
        <is>
          <t>Closing Balance</t>
        </is>
      </c>
      <c r="B18" s="41">
        <f>B11+B17</f>
        <v/>
      </c>
      <c r="C18" s="41">
        <f>C11+C17</f>
        <v/>
      </c>
      <c r="D18" s="41">
        <f>D11+D17</f>
        <v/>
      </c>
      <c r="E18" s="41">
        <f>E11+E17</f>
        <v/>
      </c>
      <c r="F18" s="41">
        <f>E18</f>
        <v/>
      </c>
    </row>
    <row r="19">
      <c r="A19" s="31" t="inlineStr">
        <is>
          <t>Cash Injection Required</t>
        </is>
      </c>
      <c r="B19" s="41">
        <f>IF(B18&lt;0,B18,0)</f>
        <v/>
      </c>
      <c r="C19" s="41">
        <f>IF(C18&lt;0,C18,0)</f>
        <v/>
      </c>
      <c r="D19" s="41">
        <f>IF(D18&lt;0,D18,0)</f>
        <v/>
      </c>
      <c r="E19" s="41">
        <f>IF(E18&lt;0,E18,0)</f>
        <v/>
      </c>
      <c r="F19" s="41">
        <f>MIN(F18,0)</f>
        <v/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47" min="1" max="1"/>
    <col width="90" customWidth="1" style="47" min="2" max="2"/>
    <col width="35" customWidth="1" style="47" min="3" max="3"/>
    <col width="8.710000000000001" customWidth="1" style="47" min="4" max="4"/>
    <col width="18" customWidth="1" style="47" min="5" max="6"/>
    <col width="12" customWidth="1" style="47" min="7" max="7"/>
    <col width="8.710000000000001" customWidth="1" style="47" min="8" max="26"/>
  </cols>
  <sheetData>
    <row r="1">
      <c r="A1" s="48" t="inlineStr">
        <is>
          <t>Strategy &amp; Operations</t>
        </is>
      </c>
    </row>
    <row r="2">
      <c r="A2" s="49" t="inlineStr">
        <is>
          <t>Narrative content and revenue mix for the strategy tab.</t>
        </is>
      </c>
    </row>
    <row r="3">
      <c r="A3" s="50" t="inlineStr">
        <is>
          <t>Mission / Context</t>
        </is>
      </c>
    </row>
    <row r="4">
      <c r="A4" s="30" t="inlineStr">
        <is>
          <t>Section</t>
        </is>
      </c>
      <c r="B4" s="30" t="inlineStr">
        <is>
          <t>Content</t>
        </is>
      </c>
    </row>
    <row r="5">
      <c r="A5" s="31" t="inlineStr">
        <is>
          <t>Operation Motive in Saudi Society</t>
        </is>
      </c>
      <c r="B5" s="42" t="inlineStr">
        <is>
      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      </is>
      </c>
    </row>
    <row r="7">
      <c r="A7" s="50" t="inlineStr">
        <is>
          <t>Service Pillars</t>
        </is>
      </c>
    </row>
    <row r="8">
      <c r="A8" s="30" t="inlineStr">
        <is>
          <t>Pillar</t>
        </is>
      </c>
      <c r="B8" s="30" t="inlineStr">
        <is>
          <t>Description</t>
        </is>
      </c>
      <c r="E8" s="25" t="inlineStr">
        <is>
          <t>Category</t>
        </is>
      </c>
      <c r="F8" s="25" t="inlineStr">
        <is>
          <t>Revenue (SAR)</t>
        </is>
      </c>
      <c r="G8" s="25" t="inlineStr">
        <is>
          <t>Share</t>
        </is>
      </c>
    </row>
    <row r="9">
      <c r="A9" s="31" t="inlineStr">
        <is>
          <t>Advisory Services</t>
        </is>
      </c>
      <c r="B9" s="42" t="inlineStr">
        <is>
          <t>Strategic advisory for government and non-government sectors — regulatory compliance, public programs, and partnerships</t>
        </is>
      </c>
      <c r="E9" s="5" t="inlineStr">
        <is>
          <t>Advisory</t>
        </is>
      </c>
      <c r="F9" s="26">
        <f>SUM(Pipeline_Revenue!B11:B22)</f>
        <v/>
      </c>
      <c r="G9" s="27">
        <f>IFERROR(F9/SUM(F9:F10),0)</f>
        <v/>
      </c>
    </row>
    <row r="10">
      <c r="A10" s="31" t="inlineStr">
        <is>
          <t>Training Courses</t>
        </is>
      </c>
      <c r="B10" s="42" t="inlineStr">
        <is>
          <t>Specialized training programs tailored for institutional and private sector capacity building</t>
        </is>
      </c>
      <c r="E10" s="5" t="inlineStr">
        <is>
          <t>Training</t>
        </is>
      </c>
      <c r="F10" s="26">
        <f>SUM(Pipeline_Revenue!C11:C22)</f>
        <v/>
      </c>
      <c r="G10" s="27">
        <f>IFERROR(F10/SUM(F9:F10),0)</f>
        <v/>
      </c>
    </row>
    <row r="11">
      <c r="A11" s="5" t="inlineStr">
        <is>
          <t>Innovation &amp; Technology</t>
        </is>
      </c>
      <c r="B11" s="15" t="inlineStr">
        <is>
          <t>Scalable, compliant, and innovative technology-driven solutions for social impact</t>
        </is>
      </c>
    </row>
    <row r="12">
      <c r="A12" s="50" t="inlineStr">
        <is>
          <t>Target Sectors</t>
        </is>
      </c>
    </row>
    <row r="13">
      <c r="A13" s="30" t="inlineStr">
        <is>
          <t>Sector</t>
        </is>
      </c>
      <c r="B13" s="30" t="inlineStr">
        <is>
          <t>Key Point 1</t>
        </is>
      </c>
      <c r="C13" s="30" t="inlineStr">
        <is>
          <t>Key Point 2</t>
        </is>
      </c>
    </row>
    <row r="14">
      <c r="A14" s="12" t="inlineStr">
        <is>
          <t>Government Sector</t>
        </is>
      </c>
      <c r="B14" s="42" t="inlineStr">
        <is>
          <t>Training, advisory, and innovation support to government institutions</t>
        </is>
      </c>
      <c r="C14" s="42" t="inlineStr">
        <is>
          <t>Leverage regulatory compliance, public sector programs, and government partnerships</t>
        </is>
      </c>
    </row>
    <row r="15">
      <c r="A15" s="12" t="inlineStr">
        <is>
          <t>Non-Government Sector</t>
        </is>
      </c>
      <c r="B15" s="42" t="inlineStr">
        <is>
          <t>Engage NGOs, private foundations, and social enterprises</t>
        </is>
      </c>
      <c r="C15" s="42" t="inlineStr">
        <is>
          <t>Tailored programs in advisory, innovation, and technology services</t>
        </is>
      </c>
    </row>
    <row r="17">
      <c r="A17" s="50" t="inlineStr">
        <is>
          <t>Action Plan &amp; Goals</t>
        </is>
      </c>
    </row>
    <row r="18">
      <c r="A18" s="30" t="inlineStr">
        <is>
          <t>Type</t>
        </is>
      </c>
      <c r="B18" s="30" t="inlineStr">
        <is>
          <t>Detail</t>
        </is>
      </c>
    </row>
    <row r="19">
      <c r="A19" s="31" t="inlineStr">
        <is>
          <t>Approach 1</t>
        </is>
      </c>
      <c r="B19" s="42" t="inlineStr">
        <is>
          <t>Map key government agencies and NGOs aligned with mission</t>
        </is>
      </c>
    </row>
    <row r="20">
      <c r="A20" s="31" t="inlineStr">
        <is>
          <t>Approach 2</t>
        </is>
      </c>
      <c r="B20" s="42" t="inlineStr">
        <is>
          <t>Develop sector-specific solutions and service packages</t>
        </is>
      </c>
    </row>
    <row r="21" ht="15.75" customHeight="1" s="47">
      <c r="A21" s="31" t="inlineStr">
        <is>
          <t>Approach 3</t>
        </is>
      </c>
      <c r="B21" s="42" t="inlineStr">
        <is>
          <t>Strengthen relationships via workshops, consultations, and pilot projects</t>
        </is>
      </c>
    </row>
    <row r="22" ht="15.75" customHeight="1" s="47">
      <c r="A22" s="31" t="inlineStr">
        <is>
          <t>Goal 1</t>
        </is>
      </c>
      <c r="B22" s="42" t="inlineStr">
        <is>
          <t>Position as a trusted partner for both government and non-government sectors</t>
        </is>
      </c>
    </row>
    <row r="23" ht="15.75" customHeight="1" s="47">
      <c r="A23" s="31" t="inlineStr">
        <is>
          <t>Goal 2</t>
        </is>
      </c>
      <c r="B23" s="42" t="inlineStr">
        <is>
          <t>Expand reach, credibility, and impact by year-end</t>
        </is>
      </c>
    </row>
    <row r="24" ht="15.75" customHeight="1" s="47"/>
    <row r="25" ht="15.75" customHeight="1" s="47">
      <c r="A25" s="50" t="inlineStr">
        <is>
          <t>Value Proposition</t>
        </is>
      </c>
    </row>
    <row r="26" ht="15.75" customHeight="1" s="47">
      <c r="A26" s="30" t="inlineStr">
        <is>
          <t>Item</t>
        </is>
      </c>
      <c r="B26" s="30" t="inlineStr">
        <is>
          <t>Detail</t>
        </is>
      </c>
    </row>
    <row r="27" ht="15.75" customHeight="1" s="47">
      <c r="A27" s="31" t="inlineStr">
        <is>
          <t>Value Proposition 1</t>
        </is>
      </c>
      <c r="B27" s="42" t="inlineStr">
        <is>
          <t>Act as a bridge between government initiatives and community/non-profit impact</t>
        </is>
      </c>
    </row>
    <row r="28" ht="15.75" customHeight="1" s="47">
      <c r="A28" s="31" t="inlineStr">
        <is>
          <t>Value Proposition 2</t>
        </is>
      </c>
      <c r="B28" s="42" t="inlineStr">
        <is>
          <t>Provide specialized services that are compliant, innovative, and scalable</t>
        </is>
      </c>
    </row>
    <row r="29" ht="15.75" customHeight="1" s="47">
      <c r="A29" s="31" t="inlineStr">
        <is>
          <t>Value Proposition 3</t>
        </is>
      </c>
      <c r="B29" s="42" t="inlineStr">
        <is>
          <t>Advisory drives 60% of revenue — high-margin strategic consulting</t>
        </is>
      </c>
    </row>
    <row r="30" ht="15.75" customHeight="1" s="47">
      <c r="A30" s="31" t="inlineStr">
        <is>
          <t>Value Proposition 4</t>
        </is>
      </c>
      <c r="B30" s="42" t="inlineStr">
        <is>
          <t>Training at 40% — scalable capacity building with recurring revenue potential</t>
        </is>
      </c>
    </row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47" min="1" max="1"/>
    <col width="16.29" customWidth="1" style="47" min="2" max="2"/>
    <col width="16" customWidth="1" style="47" min="3" max="6"/>
    <col width="24" customWidth="1" style="47" min="7" max="7"/>
    <col width="18" customWidth="1" style="47" min="8" max="8"/>
    <col width="24" customWidth="1" style="47" min="9" max="9"/>
    <col width="8.710000000000001" customWidth="1" style="47" min="10" max="26"/>
  </cols>
  <sheetData>
    <row r="1">
      <c r="A1" s="48" t="inlineStr">
        <is>
          <t>Pipeline &amp; Revenue</t>
        </is>
      </c>
    </row>
    <row r="2">
      <c r="A2" s="49" t="inlineStr">
        <is>
          <t>Active pipeline, monthly revenue ramp, and collection schedule.</t>
        </is>
      </c>
    </row>
    <row r="3">
      <c r="A3" s="50" t="inlineStr">
        <is>
          <t>Summary KPIs</t>
        </is>
      </c>
    </row>
    <row r="4">
      <c r="A4" s="30" t="inlineStr">
        <is>
          <t>Metric</t>
        </is>
      </c>
      <c r="B4" s="30" t="inlineStr">
        <is>
          <t>Value</t>
        </is>
      </c>
      <c r="C4" s="30" t="inlineStr">
        <is>
          <t>Note</t>
        </is>
      </c>
    </row>
    <row r="5">
      <c r="A5" s="31" t="inlineStr">
        <is>
          <t>Total Revenue Pipeline 2026</t>
        </is>
      </c>
      <c r="B5" s="41">
        <f>SUM(D11:D22)</f>
        <v/>
      </c>
      <c r="C5" s="42" t="inlineStr">
        <is>
          <t>Formula from monthly revenue ramp</t>
        </is>
      </c>
    </row>
    <row r="6">
      <c r="A6" s="31" t="inlineStr">
        <is>
          <t>Proposals Q1–Q2 2026</t>
        </is>
      </c>
      <c r="B6" s="38" t="n">
        <v>2100000</v>
      </c>
      <c r="C6" s="42" t="inlineStr">
        <is>
          <t>Manual source from current dashboard</t>
        </is>
      </c>
    </row>
    <row r="7">
      <c r="A7" s="5" t="inlineStr">
        <is>
          <t>Active Proposals</t>
        </is>
      </c>
      <c r="B7" s="28">
        <f>COUNTA(G11:G19)</f>
        <v/>
      </c>
      <c r="C7" s="15" t="inlineStr">
        <is>
          <t>Count of active proposal rows</t>
        </is>
      </c>
    </row>
    <row r="9">
      <c r="A9" s="50" t="inlineStr">
        <is>
          <t>Monthly Revenue Ramp 2026</t>
        </is>
      </c>
    </row>
    <row r="10">
      <c r="A10" s="30" t="inlineStr">
        <is>
          <t>Month</t>
        </is>
      </c>
      <c r="B10" s="30" t="inlineStr">
        <is>
          <t>Advisory Revenue</t>
        </is>
      </c>
      <c r="C10" s="30" t="inlineStr">
        <is>
          <t>Training Revenue</t>
        </is>
      </c>
      <c r="D10" s="30" t="inlineStr">
        <is>
          <t>Total Revenue</t>
        </is>
      </c>
      <c r="E10" s="30" t="inlineStr">
        <is>
          <t>Quarter</t>
        </is>
      </c>
      <c r="G10" s="25" t="inlineStr">
        <is>
          <t>Client</t>
        </is>
      </c>
      <c r="H10" s="25" t="inlineStr">
        <is>
          <t>Proposal Value (SAR)</t>
        </is>
      </c>
      <c r="I10" s="25" t="inlineStr">
        <is>
          <t>Notes</t>
        </is>
      </c>
    </row>
    <row r="11">
      <c r="A11" s="31" t="inlineStr">
        <is>
          <t>Jan</t>
        </is>
      </c>
      <c r="B11" s="38" t="n">
        <v>0</v>
      </c>
      <c r="C11" s="38" t="n">
        <v>0</v>
      </c>
      <c r="D11" s="41">
        <f>B11+C11</f>
        <v/>
      </c>
      <c r="E11" s="33" t="inlineStr">
        <is>
          <t>Q1</t>
        </is>
      </c>
      <c r="G11" s="5" t="inlineStr">
        <is>
          <t>NADEC</t>
        </is>
      </c>
      <c r="H11" s="29" t="n">
        <v>500000</v>
      </c>
      <c r="I11" s="6" t="inlineStr">
        <is>
          <t>Current dashboard item</t>
        </is>
      </c>
    </row>
    <row r="12">
      <c r="A12" s="31" t="inlineStr">
        <is>
          <t>Feb</t>
        </is>
      </c>
      <c r="B12" s="38" t="n">
        <v>0</v>
      </c>
      <c r="C12" s="38" t="n">
        <v>0</v>
      </c>
      <c r="D12" s="41">
        <f>B12+C12</f>
        <v/>
      </c>
      <c r="E12" s="33" t="inlineStr">
        <is>
          <t>Q1</t>
        </is>
      </c>
      <c r="G12" s="5" t="inlineStr">
        <is>
          <t>MEP</t>
        </is>
      </c>
      <c r="H12" s="29" t="n">
        <v>500000</v>
      </c>
      <c r="I12" s="6" t="inlineStr">
        <is>
          <t>Current dashboard item</t>
        </is>
      </c>
    </row>
    <row r="13">
      <c r="A13" s="31" t="inlineStr">
        <is>
          <t>Mar</t>
        </is>
      </c>
      <c r="B13" s="38" t="n">
        <v>0</v>
      </c>
      <c r="C13" s="38" t="n">
        <v>30000</v>
      </c>
      <c r="D13" s="41">
        <f>B13+C13</f>
        <v/>
      </c>
      <c r="E13" s="33" t="inlineStr">
        <is>
          <t>Q1</t>
        </is>
      </c>
      <c r="G13" s="5" t="inlineStr">
        <is>
          <t>ITQAN ESG</t>
        </is>
      </c>
      <c r="H13" s="29" t="n">
        <v>350000</v>
      </c>
      <c r="I13" s="6" t="inlineStr">
        <is>
          <t>Current dashboard item</t>
        </is>
      </c>
    </row>
    <row r="14">
      <c r="A14" s="31" t="inlineStr">
        <is>
          <t>Apr</t>
        </is>
      </c>
      <c r="B14" s="38" t="n">
        <v>0</v>
      </c>
      <c r="C14" s="38" t="n">
        <v>90000</v>
      </c>
      <c r="D14" s="41">
        <f>B14+C14</f>
        <v/>
      </c>
      <c r="E14" s="33" t="inlineStr">
        <is>
          <t>Q2</t>
        </is>
      </c>
      <c r="G14" s="5" t="inlineStr">
        <is>
          <t>TADAWUL</t>
        </is>
      </c>
      <c r="H14" s="29" t="n">
        <v>330000</v>
      </c>
      <c r="I14" s="6" t="inlineStr">
        <is>
          <t>Current dashboard item</t>
        </is>
      </c>
    </row>
    <row r="15">
      <c r="A15" s="31" t="inlineStr">
        <is>
          <t>May</t>
        </is>
      </c>
      <c r="B15" s="38" t="n">
        <v>100000</v>
      </c>
      <c r="C15" s="38" t="n">
        <v>40000</v>
      </c>
      <c r="D15" s="41">
        <f>B15+C15</f>
        <v/>
      </c>
      <c r="E15" s="33" t="inlineStr">
        <is>
          <t>Q2</t>
        </is>
      </c>
      <c r="G15" s="5" t="inlineStr">
        <is>
          <t>MDL BEAST</t>
        </is>
      </c>
      <c r="H15" s="29" t="n">
        <v>220000</v>
      </c>
      <c r="I15" s="6" t="inlineStr">
        <is>
          <t>Current dashboard item</t>
        </is>
      </c>
    </row>
    <row r="16">
      <c r="A16" s="31" t="inlineStr">
        <is>
          <t>Jun</t>
        </is>
      </c>
      <c r="B16" s="38" t="n">
        <v>185000</v>
      </c>
      <c r="C16" s="38" t="n">
        <v>115000</v>
      </c>
      <c r="D16" s="41">
        <f>B16+C16</f>
        <v/>
      </c>
      <c r="E16" s="33" t="inlineStr">
        <is>
          <t>Q2</t>
        </is>
      </c>
      <c r="G16" s="5" t="inlineStr">
        <is>
          <t>OBEKAN</t>
        </is>
      </c>
      <c r="H16" s="29" t="n">
        <v>70000</v>
      </c>
      <c r="I16" s="6" t="inlineStr">
        <is>
          <t>Current dashboard item</t>
        </is>
      </c>
    </row>
    <row r="17">
      <c r="A17" s="31" t="inlineStr">
        <is>
          <t>Jul</t>
        </is>
      </c>
      <c r="B17" s="38" t="n">
        <v>136125</v>
      </c>
      <c r="C17" s="38" t="n">
        <v>111375</v>
      </c>
      <c r="D17" s="41">
        <f>B17+C17</f>
        <v/>
      </c>
      <c r="E17" s="33" t="inlineStr">
        <is>
          <t>Q3</t>
        </is>
      </c>
      <c r="G17" s="5" t="inlineStr">
        <is>
          <t>YAMAMA CEMENT</t>
        </is>
      </c>
      <c r="H17" s="29" t="n">
        <v>50000</v>
      </c>
      <c r="I17" s="6" t="inlineStr">
        <is>
          <t>Current dashboard item</t>
        </is>
      </c>
    </row>
    <row r="18">
      <c r="A18" s="31" t="inlineStr">
        <is>
          <t>Aug</t>
        </is>
      </c>
      <c r="B18" s="38" t="n">
        <v>170156</v>
      </c>
      <c r="C18" s="38" t="n">
        <v>139219</v>
      </c>
      <c r="D18" s="41">
        <f>B18+C18</f>
        <v/>
      </c>
      <c r="E18" s="33" t="inlineStr">
        <is>
          <t>Q3</t>
        </is>
      </c>
      <c r="G18" s="5" t="inlineStr">
        <is>
          <t>PIF — CFG</t>
        </is>
      </c>
      <c r="H18" s="29" t="n">
        <v>45000</v>
      </c>
      <c r="I18" s="6" t="inlineStr">
        <is>
          <t>Current dashboard item</t>
        </is>
      </c>
    </row>
    <row r="19">
      <c r="A19" s="31" t="inlineStr">
        <is>
          <t>Sep</t>
        </is>
      </c>
      <c r="B19" s="38" t="n">
        <v>331064</v>
      </c>
      <c r="C19" s="38" t="n">
        <v>155655</v>
      </c>
      <c r="D19" s="41">
        <f>B19+C19</f>
        <v/>
      </c>
      <c r="E19" s="33" t="inlineStr">
        <is>
          <t>Q3</t>
        </is>
      </c>
      <c r="G19" s="5" t="inlineStr">
        <is>
          <t>Financial Academy</t>
        </is>
      </c>
      <c r="H19" s="29" t="n">
        <v>30000</v>
      </c>
      <c r="I19" s="6" t="inlineStr">
        <is>
          <t>Current dashboard item</t>
        </is>
      </c>
    </row>
    <row r="20">
      <c r="A20" s="31" t="inlineStr">
        <is>
          <t>Oct</t>
        </is>
      </c>
      <c r="B20" s="38" t="n">
        <v>276963</v>
      </c>
      <c r="C20" s="38" t="n">
        <v>144788</v>
      </c>
      <c r="D20" s="41">
        <f>B20+C20</f>
        <v/>
      </c>
      <c r="E20" s="33" t="inlineStr">
        <is>
          <t>Q4</t>
        </is>
      </c>
      <c r="G20" s="5" t="inlineStr">
        <is>
          <t>Total</t>
        </is>
      </c>
      <c r="H20" s="28">
        <f>SUM(H11:H19)</f>
        <v/>
      </c>
    </row>
    <row r="21" ht="15.75" customHeight="1" s="47">
      <c r="A21" s="31" t="inlineStr">
        <is>
          <t>Nov</t>
        </is>
      </c>
      <c r="B21" s="38" t="n">
        <v>330051</v>
      </c>
      <c r="C21" s="38" t="n">
        <v>188224</v>
      </c>
      <c r="D21" s="41">
        <f>B21+C21</f>
        <v/>
      </c>
      <c r="E21" s="33" t="inlineStr">
        <is>
          <t>Q4</t>
        </is>
      </c>
    </row>
    <row r="22" ht="15.75" customHeight="1" s="47">
      <c r="A22" s="31" t="inlineStr">
        <is>
          <t>Dec</t>
        </is>
      </c>
      <c r="B22" s="38" t="n">
        <v>299067</v>
      </c>
      <c r="C22" s="38" t="n">
        <v>204691</v>
      </c>
      <c r="D22" s="41">
        <f>B22+C22</f>
        <v/>
      </c>
      <c r="E22" s="33" t="inlineStr">
        <is>
          <t>Q4</t>
        </is>
      </c>
    </row>
    <row r="23" ht="15.75" customHeight="1" s="47">
      <c r="A23" s="31" t="inlineStr">
        <is>
          <t>Year Total</t>
        </is>
      </c>
      <c r="B23" s="41">
        <f>SUM(B11:B22)</f>
        <v/>
      </c>
      <c r="C23" s="41">
        <f>SUM(C11:C22)</f>
        <v/>
      </c>
      <c r="D23" s="41">
        <f>SUM(D11:D22)</f>
        <v/>
      </c>
      <c r="E23" s="33" t="n"/>
    </row>
    <row r="24" ht="15.75" customHeight="1" s="47"/>
    <row r="25" ht="15.75" customHeight="1" s="47">
      <c r="A25" s="50" t="inlineStr">
        <is>
          <t>Collection Schedule 2026 — 60-Day Payment Terms</t>
        </is>
      </c>
    </row>
    <row r="26" ht="15.75" customHeight="1" s="47">
      <c r="A26" s="30" t="inlineStr">
        <is>
          <t>Description</t>
        </is>
      </c>
      <c r="B26" s="30" t="inlineStr">
        <is>
          <t>Q1</t>
        </is>
      </c>
      <c r="C26" s="30" t="inlineStr">
        <is>
          <t>Q2</t>
        </is>
      </c>
      <c r="D26" s="30" t="inlineStr">
        <is>
          <t>Q3</t>
        </is>
      </c>
      <c r="E26" s="30" t="inlineStr">
        <is>
          <t>Q4</t>
        </is>
      </c>
      <c r="F26" s="30" t="inlineStr">
        <is>
          <t>Year 2026</t>
        </is>
      </c>
    </row>
    <row r="27" ht="15.75" customHeight="1" s="47">
      <c r="A27" s="31" t="inlineStr">
        <is>
          <t>Advisory Collections</t>
        </is>
      </c>
      <c r="B27" s="24">
        <f>Cash_Flow!B12</f>
        <v/>
      </c>
      <c r="C27" s="24">
        <f>Cash_Flow!C12</f>
        <v/>
      </c>
      <c r="D27" s="24">
        <f>Cash_Flow!D12</f>
        <v/>
      </c>
      <c r="E27" s="24">
        <f>Cash_Flow!E12</f>
        <v/>
      </c>
      <c r="F27" s="24">
        <f>SUM(B27:E27)</f>
        <v/>
      </c>
    </row>
    <row r="28" ht="15.75" customHeight="1" s="47">
      <c r="A28" s="31" t="inlineStr">
        <is>
          <t>Training Collections</t>
        </is>
      </c>
      <c r="B28" s="24">
        <f>Cash_Flow!B13</f>
        <v/>
      </c>
      <c r="C28" s="24">
        <f>Cash_Flow!C13</f>
        <v/>
      </c>
      <c r="D28" s="24">
        <f>Cash_Flow!D13</f>
        <v/>
      </c>
      <c r="E28" s="24">
        <f>Cash_Flow!E13</f>
        <v/>
      </c>
      <c r="F28" s="24">
        <f>SUM(B28:E28)</f>
        <v/>
      </c>
    </row>
    <row r="29" ht="15.75" customHeight="1" s="47">
      <c r="A29" s="31" t="inlineStr">
        <is>
          <t>Total Collections</t>
        </is>
      </c>
      <c r="B29" s="41">
        <f>B27+B28</f>
        <v/>
      </c>
      <c r="C29" s="41">
        <f>C27+C28</f>
        <v/>
      </c>
      <c r="D29" s="41">
        <f>D27+D28</f>
        <v/>
      </c>
      <c r="E29" s="41">
        <f>E27+E28</f>
        <v/>
      </c>
      <c r="F29" s="41">
        <f>SUM(B29:E29)</f>
        <v/>
      </c>
    </row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22" customWidth="1" style="47" min="1" max="1"/>
    <col width="34" customWidth="1" style="47" min="2" max="2"/>
    <col width="18" customWidth="1" style="47" min="3" max="3"/>
    <col width="14" customWidth="1" style="47" min="4" max="4"/>
    <col width="16" customWidth="1" style="47" min="5" max="6"/>
    <col width="18" customWidth="1" style="47" min="7" max="7"/>
    <col width="16" customWidth="1" style="47" min="8" max="8"/>
    <col width="22" customWidth="1" style="47" min="9" max="9"/>
    <col width="8.710000000000001" customWidth="1" style="47" min="10" max="26"/>
  </cols>
  <sheetData>
    <row r="1">
      <c r="A1" s="48" t="inlineStr">
        <is>
          <t>Sales Raw Opportunities</t>
        </is>
      </c>
    </row>
    <row r="2">
      <c r="A2" s="49" t="inlineStr">
        <is>
          <t>Detailed proposal table from the dashboard sales page.</t>
        </is>
      </c>
    </row>
    <row r="3">
      <c r="A3" s="30" t="inlineStr">
        <is>
          <t>Client</t>
        </is>
      </c>
      <c r="B3" s="30" t="inlineStr">
        <is>
          <t>Opportunity</t>
        </is>
      </c>
      <c r="C3" s="30" t="inlineStr">
        <is>
          <t>BD Lead</t>
        </is>
      </c>
      <c r="D3" s="30" t="inlineStr">
        <is>
          <t>Submitted</t>
        </is>
      </c>
      <c r="E3" s="30" t="inlineStr">
        <is>
          <t>Value_SAR</t>
        </is>
      </c>
      <c r="F3" s="30" t="inlineStr">
        <is>
          <t>Probability_Pct</t>
        </is>
      </c>
      <c r="G3" s="30" t="inlineStr">
        <is>
          <t>Weighted_Value_SAR</t>
        </is>
      </c>
      <c r="H3" s="30" t="inlineStr">
        <is>
          <t>Stage</t>
        </is>
      </c>
      <c r="I3" s="30" t="inlineStr">
        <is>
          <t>Notes</t>
        </is>
      </c>
    </row>
    <row r="4">
      <c r="A4" s="31" t="inlineStr">
        <is>
          <t>Financial Academy</t>
        </is>
      </c>
      <c r="B4" s="42" t="inlineStr">
        <is>
          <t>ESG Certificate</t>
        </is>
      </c>
      <c r="C4" s="33" t="inlineStr">
        <is>
          <t>Salwa AlSudairy</t>
        </is>
      </c>
      <c r="D4" s="33" t="inlineStr">
        <is>
          <t>Jan 2026</t>
        </is>
      </c>
      <c r="E4" s="38" t="n">
        <v>30000</v>
      </c>
      <c r="F4" s="39" t="n">
        <v>0.95</v>
      </c>
      <c r="G4" s="41">
        <f>IF(AND(E4&lt;&gt;0,NOT(ISBLANK(E4)),NOT(ISBLANK(F4))),E4*F4,"")</f>
        <v/>
      </c>
      <c r="H4" s="43" t="inlineStr">
        <is>
          <t>Submitted</t>
        </is>
      </c>
      <c r="I4" s="33" t="inlineStr">
        <is>
          <t>Imported from dashboard</t>
        </is>
      </c>
    </row>
    <row r="5">
      <c r="A5" s="31" t="inlineStr">
        <is>
          <t>SIDF</t>
        </is>
      </c>
      <c r="B5" s="42" t="inlineStr">
        <is>
          <t>ESG Workshop</t>
        </is>
      </c>
      <c r="C5" s="33" t="inlineStr">
        <is>
          <t>Salwa AlSudairy</t>
        </is>
      </c>
      <c r="D5" s="33" t="inlineStr">
        <is>
          <t>Sep 2025</t>
        </is>
      </c>
      <c r="E5" s="38" t="n">
        <v>75000</v>
      </c>
      <c r="F5" s="39" t="n">
        <v>1</v>
      </c>
      <c r="G5" s="41">
        <f>IF(AND(E5&lt;&gt;0,NOT(ISBLANK(E5)),NOT(ISBLANK(F5))),E5*F5,"")</f>
        <v/>
      </c>
      <c r="H5" s="43" t="inlineStr">
        <is>
          <t>Submitted</t>
        </is>
      </c>
      <c r="I5" s="33" t="inlineStr">
        <is>
          <t>Imported from dashboard</t>
        </is>
      </c>
    </row>
    <row r="6">
      <c r="A6" s="31" t="inlineStr">
        <is>
          <t>MEP</t>
        </is>
      </c>
      <c r="B6" s="42" t="inlineStr">
        <is>
          <t>KSA Sustainability Champions</t>
        </is>
      </c>
      <c r="C6" s="33" t="inlineStr">
        <is>
          <t>Salwa AlSudairy</t>
        </is>
      </c>
      <c r="D6" s="33" t="inlineStr">
        <is>
          <t>Dec 2025</t>
        </is>
      </c>
      <c r="E6" s="38" t="n"/>
      <c r="F6" s="39" t="n">
        <v>0.85</v>
      </c>
      <c r="G6" s="41">
        <f>IF(AND(E6&lt;&gt;0,NOT(ISBLANK(E6)),NOT(ISBLANK(F6))),E6*F6,"")</f>
        <v/>
      </c>
      <c r="H6" s="43" t="inlineStr">
        <is>
          <t>Submitted</t>
        </is>
      </c>
      <c r="I6" s="33" t="inlineStr">
        <is>
          <t>Imported from dashboard</t>
        </is>
      </c>
    </row>
    <row r="7">
      <c r="A7" s="31" t="inlineStr">
        <is>
          <t>Tadawul Group</t>
        </is>
      </c>
      <c r="B7" s="42" t="inlineStr">
        <is>
          <t>GDP ESG Workshop</t>
        </is>
      </c>
      <c r="C7" s="33" t="inlineStr">
        <is>
          <t>Salwa AlSudairy</t>
        </is>
      </c>
      <c r="D7" s="33" t="inlineStr">
        <is>
          <t>Oct 2025</t>
        </is>
      </c>
      <c r="E7" s="38" t="n">
        <v>500000</v>
      </c>
      <c r="F7" s="39" t="n">
        <v>0.8</v>
      </c>
      <c r="G7" s="41">
        <f>IF(AND(E7&lt;&gt;0,NOT(ISBLANK(E7)),NOT(ISBLANK(F7))),E7*F7,"")</f>
        <v/>
      </c>
      <c r="H7" s="43" t="inlineStr">
        <is>
          <t>Submitted</t>
        </is>
      </c>
      <c r="I7" s="33" t="inlineStr">
        <is>
          <t>Imported from dashboard</t>
        </is>
      </c>
    </row>
    <row r="8">
      <c r="A8" s="31" t="inlineStr">
        <is>
          <t>Center For Gov.</t>
        </is>
      </c>
      <c r="B8" s="42" t="inlineStr">
        <is>
          <t>ESG Course Development</t>
        </is>
      </c>
      <c r="C8" s="33" t="inlineStr">
        <is>
          <t>Salwa AlSudairy</t>
        </is>
      </c>
      <c r="D8" s="33" t="inlineStr">
        <is>
          <t>Oct 2025</t>
        </is>
      </c>
      <c r="E8" s="38" t="n">
        <v>20000</v>
      </c>
      <c r="F8" s="39" t="n">
        <v>1</v>
      </c>
      <c r="G8" s="41">
        <f>IF(AND(E8&lt;&gt;0,NOT(ISBLANK(E8)),NOT(ISBLANK(F8))),E8*F8,"")</f>
        <v/>
      </c>
      <c r="H8" s="43" t="inlineStr">
        <is>
          <t>Won</t>
        </is>
      </c>
      <c r="I8" s="33" t="inlineStr">
        <is>
          <t>Imported from dashboard</t>
        </is>
      </c>
    </row>
    <row r="9">
      <c r="A9" s="31" t="inlineStr">
        <is>
          <t>GOSI</t>
        </is>
      </c>
      <c r="B9" s="42" t="inlineStr">
        <is>
          <t>Enablement Program</t>
        </is>
      </c>
      <c r="C9" s="33" t="inlineStr">
        <is>
          <t>Salwa AlSudairy</t>
        </is>
      </c>
      <c r="D9" s="33" t="inlineStr">
        <is>
          <t>Feb 2026</t>
        </is>
      </c>
      <c r="E9" s="38" t="n">
        <v>500000</v>
      </c>
      <c r="F9" s="39" t="n">
        <v>0.6</v>
      </c>
      <c r="G9" s="41">
        <f>IF(AND(E9&lt;&gt;0,NOT(ISBLANK(E9)),NOT(ISBLANK(F9))),E9*F9,"")</f>
        <v/>
      </c>
      <c r="H9" s="43" t="inlineStr">
        <is>
          <t>Submitted</t>
        </is>
      </c>
      <c r="I9" s="33" t="inlineStr">
        <is>
          <t>Imported from dashboard</t>
        </is>
      </c>
    </row>
    <row r="10">
      <c r="A10" s="31" t="inlineStr">
        <is>
          <t>Tadawul Group</t>
        </is>
      </c>
      <c r="B10" s="42" t="inlineStr">
        <is>
          <t>ESG &amp; Corp. Governance</t>
        </is>
      </c>
      <c r="C10" s="33" t="inlineStr">
        <is>
          <t>Salwa AlSudairy</t>
        </is>
      </c>
      <c r="D10" s="33" t="inlineStr">
        <is>
          <t>Aug 2025</t>
        </is>
      </c>
      <c r="E10" s="38" t="n">
        <v>1000000</v>
      </c>
      <c r="F10" s="39" t="n">
        <v>0.6</v>
      </c>
      <c r="G10" s="41">
        <f>IF(AND(E10&lt;&gt;0,NOT(ISBLANK(E10)),NOT(ISBLANK(F10))),E10*F10,"")</f>
        <v/>
      </c>
      <c r="H10" s="43" t="inlineStr">
        <is>
          <t>Submitted</t>
        </is>
      </c>
      <c r="I10" s="33" t="inlineStr">
        <is>
          <t>Imported from dashboard</t>
        </is>
      </c>
    </row>
    <row r="11">
      <c r="A11" s="31" t="inlineStr">
        <is>
          <t>KACST</t>
        </is>
      </c>
      <c r="B11" s="42" t="inlineStr">
        <is>
          <t>Elevating KACST's ESG Story</t>
        </is>
      </c>
      <c r="C11" s="33" t="inlineStr">
        <is>
          <t>Salwa AlSudairy</t>
        </is>
      </c>
      <c r="D11" s="33" t="inlineStr">
        <is>
          <t>Oct 2025</t>
        </is>
      </c>
      <c r="E11" s="38" t="n"/>
      <c r="F11" s="39" t="n">
        <v>0.5</v>
      </c>
      <c r="G11" s="41" t="n">
        <v>50000</v>
      </c>
      <c r="H11" s="43" t="inlineStr">
        <is>
          <t>Submitted</t>
        </is>
      </c>
      <c r="I11" s="33" t="inlineStr">
        <is>
          <t>Imported from dashboard</t>
        </is>
      </c>
    </row>
    <row r="12">
      <c r="A12" s="31" t="inlineStr">
        <is>
          <t>KAUST</t>
        </is>
      </c>
      <c r="B12" s="42" t="inlineStr">
        <is>
          <t>From Lab to Kingdom</t>
        </is>
      </c>
      <c r="C12" s="33" t="inlineStr">
        <is>
          <t>Salwa AlSudairy</t>
        </is>
      </c>
      <c r="D12" s="33" t="inlineStr">
        <is>
          <t>Oct 2025</t>
        </is>
      </c>
      <c r="E12" s="38" t="n"/>
      <c r="F12" s="39" t="n">
        <v>0.5</v>
      </c>
      <c r="G12" s="41" t="n">
        <v>50000</v>
      </c>
      <c r="H12" s="43" t="inlineStr">
        <is>
          <t>Submitted</t>
        </is>
      </c>
      <c r="I12" s="33" t="inlineStr">
        <is>
          <t>Imported from dashboard</t>
        </is>
      </c>
    </row>
    <row r="13">
      <c r="A13" s="31" t="inlineStr">
        <is>
          <t>King Saud Univ.</t>
        </is>
      </c>
      <c r="B13" s="42" t="inlineStr">
        <is>
          <t>Future Proofing KSU Graduates</t>
        </is>
      </c>
      <c r="C13" s="33" t="inlineStr">
        <is>
          <t>Salwa AlSudairy</t>
        </is>
      </c>
      <c r="D13" s="33" t="inlineStr">
        <is>
          <t>Oct 2025</t>
        </is>
      </c>
      <c r="E13" s="38" t="n"/>
      <c r="F13" s="39" t="n">
        <v>0.5</v>
      </c>
      <c r="G13" s="41" t="n">
        <v>50000</v>
      </c>
      <c r="H13" s="43" t="inlineStr">
        <is>
          <t>Submitted</t>
        </is>
      </c>
      <c r="I13" s="33" t="inlineStr">
        <is>
          <t>Imported from dashboard</t>
        </is>
      </c>
    </row>
    <row r="14">
      <c r="A14" s="31" t="inlineStr">
        <is>
          <t>Middle Beast</t>
        </is>
      </c>
      <c r="B14" s="42" t="inlineStr">
        <is>
          <t>Attache ESG Enablement</t>
        </is>
      </c>
      <c r="C14" s="33" t="inlineStr">
        <is>
          <t>Salwa AlSudairy</t>
        </is>
      </c>
      <c r="D14" s="33" t="inlineStr">
        <is>
          <t>Mar 2026</t>
        </is>
      </c>
      <c r="E14" s="38" t="n">
        <v>100000</v>
      </c>
      <c r="F14" s="39" t="n">
        <v>0.5</v>
      </c>
      <c r="G14" s="41">
        <f>IF(AND(E14&lt;&gt;0,NOT(ISBLANK(E14)),NOT(ISBLANK(F14))),E14*F14,"")</f>
        <v/>
      </c>
      <c r="H14" s="43" t="inlineStr">
        <is>
          <t>Submitted</t>
        </is>
      </c>
      <c r="I14" s="33" t="inlineStr">
        <is>
          <t>Imported from dashboard</t>
        </is>
      </c>
    </row>
    <row r="15">
      <c r="A15" s="31" t="inlineStr">
        <is>
          <t>NADEC</t>
        </is>
      </c>
      <c r="B15" s="42" t="inlineStr">
        <is>
          <t>ESG Integration</t>
        </is>
      </c>
      <c r="C15" s="33" t="inlineStr">
        <is>
          <t>Gihan Hyde</t>
        </is>
      </c>
      <c r="D15" s="33" t="inlineStr">
        <is>
          <t>Feb 2026</t>
        </is>
      </c>
      <c r="E15" s="38" t="n">
        <v>500000</v>
      </c>
      <c r="F15" s="39" t="n">
        <v>0.5</v>
      </c>
      <c r="G15" s="41">
        <f>IF(AND(E15&lt;&gt;0,NOT(ISBLANK(E15)),NOT(ISBLANK(F15))),E15*F15,"")</f>
        <v/>
      </c>
      <c r="H15" s="43" t="inlineStr">
        <is>
          <t>Submitted</t>
        </is>
      </c>
      <c r="I15" s="33" t="inlineStr">
        <is>
          <t>Imported from dashboard</t>
        </is>
      </c>
    </row>
    <row r="16">
      <c r="A16" s="31" t="inlineStr">
        <is>
          <t>Tadawul Group</t>
        </is>
      </c>
      <c r="B16" s="42" t="inlineStr">
        <is>
          <t>AI In Action</t>
        </is>
      </c>
      <c r="C16" s="33" t="inlineStr">
        <is>
          <t>Salwa AlSudairy</t>
        </is>
      </c>
      <c r="D16" s="33" t="inlineStr">
        <is>
          <t>Jan 2026</t>
        </is>
      </c>
      <c r="E16" s="38" t="n">
        <v>90000</v>
      </c>
      <c r="F16" s="39" t="n">
        <v>0.5</v>
      </c>
      <c r="G16" s="41">
        <f>IF(AND(E16&lt;&gt;0,NOT(ISBLANK(E16)),NOT(ISBLANK(F16))),E16*F16,"")</f>
        <v/>
      </c>
      <c r="H16" s="43" t="inlineStr">
        <is>
          <t>Submitted</t>
        </is>
      </c>
      <c r="I16" s="33" t="inlineStr">
        <is>
          <t>Imported from dashboard</t>
        </is>
      </c>
    </row>
    <row r="17">
      <c r="A17" s="31" t="inlineStr">
        <is>
          <t>CMA</t>
        </is>
      </c>
      <c r="B17" s="42" t="inlineStr">
        <is>
          <t>Green Finance Think Tank</t>
        </is>
      </c>
      <c r="C17" s="33" t="inlineStr">
        <is>
          <t>Salwa AlSudairy</t>
        </is>
      </c>
      <c r="D17" s="33" t="inlineStr">
        <is>
          <t>Mar 2026</t>
        </is>
      </c>
      <c r="E17" s="38" t="n"/>
      <c r="F17" s="39" t="n">
        <v>0.5</v>
      </c>
      <c r="G17" s="41">
        <f>IF(AND(E17&lt;&gt;0,NOT(ISBLANK(E17)),NOT(ISBLANK(F17))),E17*F17,"")</f>
        <v/>
      </c>
      <c r="H17" s="43" t="inlineStr">
        <is>
          <t>Submitted</t>
        </is>
      </c>
      <c r="I17" s="33" t="inlineStr">
        <is>
          <t>Imported from dashboard</t>
        </is>
      </c>
    </row>
    <row r="18">
      <c r="A18" s="31" t="inlineStr">
        <is>
          <t>ITQAN</t>
        </is>
      </c>
      <c r="B18" s="42" t="inlineStr">
        <is>
          <t>ESG Workshop</t>
        </is>
      </c>
      <c r="C18" s="33" t="inlineStr">
        <is>
          <t>Salwa AlSudairy</t>
        </is>
      </c>
      <c r="D18" s="33" t="inlineStr">
        <is>
          <t>Oct 2025</t>
        </is>
      </c>
      <c r="E18" s="38" t="n">
        <v>195000</v>
      </c>
      <c r="F18" s="39" t="n">
        <v>0.4</v>
      </c>
      <c r="G18" s="41">
        <f>IF(AND(E18&lt;&gt;0,NOT(ISBLANK(E18)),NOT(ISBLANK(F18))),E18*F18,"")</f>
        <v/>
      </c>
      <c r="H18" s="43" t="inlineStr">
        <is>
          <t>Submitted</t>
        </is>
      </c>
      <c r="I18" s="33" t="inlineStr">
        <is>
          <t>Imported from dashboard</t>
        </is>
      </c>
    </row>
    <row r="19">
      <c r="A19" s="31" t="inlineStr">
        <is>
          <t>Obeikan</t>
        </is>
      </c>
      <c r="B19" s="42" t="inlineStr">
        <is>
          <t>RPI ESG Workshop</t>
        </is>
      </c>
      <c r="C19" s="33" t="inlineStr">
        <is>
          <t>Salwa AlSudairy</t>
        </is>
      </c>
      <c r="D19" s="33" t="inlineStr">
        <is>
          <t>Nov 2025</t>
        </is>
      </c>
      <c r="E19" s="38" t="n">
        <v>100000</v>
      </c>
      <c r="F19" s="39" t="n">
        <v>0.3</v>
      </c>
      <c r="G19" s="41">
        <f>IF(AND(E19&lt;&gt;0,NOT(ISBLANK(E19)),NOT(ISBLANK(F19))),E19*F19,"")</f>
        <v/>
      </c>
      <c r="H19" s="43" t="inlineStr">
        <is>
          <t>Submitted</t>
        </is>
      </c>
      <c r="I19" s="33" t="inlineStr">
        <is>
          <t>Imported from dashboard</t>
        </is>
      </c>
    </row>
    <row r="20">
      <c r="A20" s="31" t="inlineStr">
        <is>
          <t>Financial Academy</t>
        </is>
      </c>
      <c r="B20" s="42" t="inlineStr">
        <is>
          <t>ESG &amp; Corp. Governance</t>
        </is>
      </c>
      <c r="C20" s="33" t="inlineStr">
        <is>
          <t>Salwa AlSudairy</t>
        </is>
      </c>
      <c r="D20" s="33" t="inlineStr">
        <is>
          <t>Aug 2025</t>
        </is>
      </c>
      <c r="E20" s="38" t="n">
        <v>45000</v>
      </c>
      <c r="F20" s="39" t="n">
        <v>0.6</v>
      </c>
      <c r="G20" s="41">
        <f>IF(AND(E20&lt;&gt;0,NOT(ISBLANK(E20)),NOT(ISBLANK(F20))),E20*F20,"")</f>
        <v/>
      </c>
      <c r="H20" s="43" t="inlineStr">
        <is>
          <t>Submitted</t>
        </is>
      </c>
      <c r="I20" s="33" t="inlineStr">
        <is>
          <t>Imported from dashboard</t>
        </is>
      </c>
    </row>
    <row r="21" ht="15.75" customHeight="1" s="47">
      <c r="A21" s="31" t="inlineStr">
        <is>
          <t>Financial Academy</t>
        </is>
      </c>
      <c r="B21" s="42" t="inlineStr">
        <is>
          <t>Tadawul ESG Course</t>
        </is>
      </c>
      <c r="C21" s="33" t="inlineStr">
        <is>
          <t>Salwa AlSudairy</t>
        </is>
      </c>
      <c r="D21" s="33" t="inlineStr">
        <is>
          <t>Feb 2026</t>
        </is>
      </c>
      <c r="E21" s="38" t="n">
        <v>30000</v>
      </c>
      <c r="F21" s="39" t="n">
        <v>1</v>
      </c>
      <c r="G21" s="41">
        <f>IF(AND(E21&lt;&gt;0,NOT(ISBLANK(E21)),NOT(ISBLANK(F21))),E21*F21,"")</f>
        <v/>
      </c>
      <c r="H21" s="43" t="inlineStr">
        <is>
          <t>Won</t>
        </is>
      </c>
      <c r="I21" s="33" t="inlineStr">
        <is>
          <t>Imported from dashboard</t>
        </is>
      </c>
    </row>
    <row r="22" ht="15.75" customHeight="1" s="47">
      <c r="A22" s="31" t="inlineStr">
        <is>
          <t>Financial Academy</t>
        </is>
      </c>
      <c r="B22" s="42" t="inlineStr">
        <is>
          <t>ESG Workshop</t>
        </is>
      </c>
      <c r="C22" s="33" t="inlineStr">
        <is>
          <t>Salwa AlSudairy</t>
        </is>
      </c>
      <c r="D22" s="33" t="inlineStr">
        <is>
          <t>Nov 2025</t>
        </is>
      </c>
      <c r="E22" s="38" t="n">
        <v>140000</v>
      </c>
      <c r="F22" s="39" t="n">
        <v>0.5</v>
      </c>
      <c r="G22" s="41">
        <f>IF(AND(E22&lt;&gt;0,NOT(ISBLANK(E22)),NOT(ISBLANK(F22))),E22*F22,"")</f>
        <v/>
      </c>
      <c r="H22" s="43" t="inlineStr">
        <is>
          <t>Submitted</t>
        </is>
      </c>
      <c r="I22" s="33" t="inlineStr">
        <is>
          <t>Imported from dashboard</t>
        </is>
      </c>
    </row>
    <row r="23" ht="15.75" customHeight="1" s="47">
      <c r="A23" s="31" t="inlineStr">
        <is>
          <t>PIF</t>
        </is>
      </c>
      <c r="B23" s="42" t="inlineStr">
        <is>
          <t>PIF Offsite Proposal</t>
        </is>
      </c>
      <c r="C23" s="33" t="inlineStr">
        <is>
          <t>Salwa AlSudairy</t>
        </is>
      </c>
      <c r="D23" s="33" t="inlineStr">
        <is>
          <t>Dec 2025</t>
        </is>
      </c>
      <c r="E23" s="38" t="n">
        <v>100000</v>
      </c>
      <c r="F23" s="39" t="n">
        <v>0</v>
      </c>
      <c r="G23" s="41">
        <f>IF(AND(E23&lt;&gt;0,NOT(ISBLANK(E23)),NOT(ISBLANK(F23))),E23*F23,"")</f>
        <v/>
      </c>
      <c r="H23" s="43" t="inlineStr">
        <is>
          <t>Lost</t>
        </is>
      </c>
      <c r="I23" s="33" t="inlineStr">
        <is>
          <t>Imported from dashboard</t>
        </is>
      </c>
    </row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  <row r="1001" ht="15.75" customHeight="1" s="47"/>
  </sheetData>
  <mergeCells count="2">
    <mergeCell ref="A2:H2"/>
    <mergeCell ref="A1:H1"/>
  </mergeCell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30" customWidth="1" style="47" min="1" max="1"/>
    <col width="16" customWidth="1" style="47" min="2" max="3"/>
    <col width="8.710000000000001" customWidth="1" style="47" min="4" max="26"/>
  </cols>
  <sheetData>
    <row r="1">
      <c r="A1" s="48" t="inlineStr">
        <is>
          <t>Sales Raw Operations</t>
        </is>
      </c>
    </row>
    <row r="2">
      <c r="A2" s="49" t="inlineStr">
        <is>
          <t>Operations readiness table from the dashboard sales page.</t>
        </is>
      </c>
    </row>
    <row r="3">
      <c r="A3" s="30" t="inlineStr">
        <is>
          <t>Operation Item</t>
        </is>
      </c>
      <c r="B3" s="30" t="inlineStr">
        <is>
          <t>Status</t>
        </is>
      </c>
      <c r="C3" s="30" t="inlineStr">
        <is>
          <t>Progress_Pct</t>
        </is>
      </c>
    </row>
    <row r="4">
      <c r="A4" s="31" t="inlineStr">
        <is>
          <t>Bank Account Activation</t>
        </is>
      </c>
      <c r="B4" s="43" t="inlineStr">
        <is>
          <t>Completed</t>
        </is>
      </c>
      <c r="C4" s="39" t="n">
        <v>1</v>
      </c>
    </row>
    <row r="5">
      <c r="A5" s="31" t="inlineStr">
        <is>
          <t>National Address</t>
        </is>
      </c>
      <c r="B5" s="43" t="inlineStr">
        <is>
          <t>Completed</t>
        </is>
      </c>
      <c r="C5" s="39" t="n">
        <v>1</v>
      </c>
    </row>
    <row r="6">
      <c r="A6" s="31" t="inlineStr">
        <is>
          <t>External Audit</t>
        </is>
      </c>
      <c r="B6" s="43" t="inlineStr">
        <is>
          <t>In Process</t>
        </is>
      </c>
      <c r="C6" s="39" t="n">
        <v>0.5</v>
      </c>
    </row>
    <row r="7">
      <c r="A7" s="31" t="inlineStr">
        <is>
          <t>Website</t>
        </is>
      </c>
      <c r="B7" s="43" t="inlineStr">
        <is>
          <t>In Process</t>
        </is>
      </c>
      <c r="C7" s="39" t="n">
        <v>0.5</v>
      </c>
    </row>
    <row r="8">
      <c r="A8" s="31" t="inlineStr">
        <is>
          <t>Advisory Committee</t>
        </is>
      </c>
      <c r="B8" s="43" t="inlineStr">
        <is>
          <t>In Process</t>
        </is>
      </c>
      <c r="C8" s="39" t="n">
        <v>0.5</v>
      </c>
    </row>
    <row r="9">
      <c r="A9" s="31" t="inlineStr">
        <is>
          <t>Governance Policies</t>
        </is>
      </c>
      <c r="B9" s="43" t="inlineStr">
        <is>
          <t>In Process</t>
        </is>
      </c>
      <c r="C9" s="39" t="n">
        <v>0.4</v>
      </c>
    </row>
    <row r="10">
      <c r="A10" s="31" t="inlineStr">
        <is>
          <t>Recruitment</t>
        </is>
      </c>
      <c r="B10" s="43" t="inlineStr">
        <is>
          <t>In Process</t>
        </is>
      </c>
      <c r="C10" s="39" t="n">
        <v>0.3</v>
      </c>
    </row>
    <row r="11">
      <c r="A11" s="31" t="inlineStr">
        <is>
          <t>ZATCA</t>
        </is>
      </c>
      <c r="B11" s="43" t="inlineStr">
        <is>
          <t>Pending</t>
        </is>
      </c>
      <c r="C11" s="39" t="n">
        <v>0.3</v>
      </c>
    </row>
    <row r="12">
      <c r="A12" s="31" t="inlineStr">
        <is>
          <t>Mentorship Platform</t>
        </is>
      </c>
      <c r="B12" s="43" t="inlineStr">
        <is>
          <t>In Process</t>
        </is>
      </c>
      <c r="C12" s="39" t="n">
        <v>0.3</v>
      </c>
    </row>
    <row r="13">
      <c r="A13" s="31" t="inlineStr">
        <is>
          <t>Commercial Registration</t>
        </is>
      </c>
      <c r="B13" s="43" t="inlineStr">
        <is>
          <t>Pending</t>
        </is>
      </c>
      <c r="C13" s="39" t="n">
        <v>0.2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2">
    <mergeCell ref="A2:F2"/>
    <mergeCell ref="A1:F1"/>
  </mergeCell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47" min="1" max="1"/>
    <col width="16" customWidth="1" style="47" min="2" max="3"/>
    <col width="18" customWidth="1" style="47" min="4" max="4"/>
    <col width="32" customWidth="1" style="47" min="5" max="5"/>
    <col width="16" customWidth="1" style="47" min="6" max="6"/>
    <col width="18" customWidth="1" style="47" min="7" max="7"/>
    <col width="22" customWidth="1" style="47" min="8" max="8"/>
    <col width="18" customWidth="1" style="47" min="9" max="9"/>
    <col width="8.710000000000001" customWidth="1" style="47" min="10" max="26"/>
  </cols>
  <sheetData>
    <row r="1">
      <c r="A1" s="48" t="inlineStr">
        <is>
          <t>Sales Performance</t>
        </is>
      </c>
    </row>
    <row r="2">
      <c r="A2" s="49" t="inlineStr">
        <is>
          <t>Dedicated sales page matching the dashboard sales tab.</t>
        </is>
      </c>
    </row>
    <row r="3">
      <c r="A3" s="50" t="inlineStr">
        <is>
          <t>KPI Card Source Table</t>
        </is>
      </c>
    </row>
    <row r="4">
      <c r="A4" s="30" t="inlineStr">
        <is>
          <t>Metric</t>
        </is>
      </c>
      <c r="B4" s="30" t="inlineStr">
        <is>
          <t>Count</t>
        </is>
      </c>
      <c r="C4" s="30" t="inlineStr">
        <is>
          <t>Value_SAR</t>
        </is>
      </c>
      <c r="D4" s="30" t="inlineStr">
        <is>
          <t>This_Month_Count</t>
        </is>
      </c>
      <c r="E4" s="30" t="inlineStr">
        <is>
          <t>This_Month_Value_or_Note</t>
        </is>
      </c>
      <c r="F4" s="30" t="inlineStr">
        <is>
          <t>This_Week_Count</t>
        </is>
      </c>
      <c r="G4" s="30" t="inlineStr">
        <is>
          <t>Probability Bucket</t>
        </is>
      </c>
      <c r="H4" s="25" t="inlineStr">
        <is>
          <t>Proposal Count</t>
        </is>
      </c>
      <c r="I4" s="25" t="inlineStr">
        <is>
          <t>Source</t>
        </is>
      </c>
    </row>
    <row r="5">
      <c r="A5" s="31" t="inlineStr">
        <is>
          <t>Total Leads</t>
        </is>
      </c>
      <c r="B5" s="38" t="n">
        <v>9</v>
      </c>
      <c r="C5" s="38" t="n">
        <v>3700000</v>
      </c>
      <c r="D5" s="38" t="n">
        <v>2</v>
      </c>
      <c r="E5" s="43" t="inlineStr">
        <is>
          <t>1000000</t>
        </is>
      </c>
      <c r="F5" s="38" t="n">
        <v>7</v>
      </c>
      <c r="G5" s="44" t="n">
        <v>0</v>
      </c>
      <c r="H5" s="28">
        <f>COUNTIF(Sales_Raw_Opportunities!F:F,G5)</f>
        <v/>
      </c>
      <c r="I5" s="6" t="inlineStr">
        <is>
          <t>Auto-count from raw opportunities</t>
        </is>
      </c>
    </row>
    <row r="6">
      <c r="A6" s="31" t="inlineStr">
        <is>
          <t>Active Proposals</t>
        </is>
      </c>
      <c r="B6" s="38">
        <f>COUNTA(Pipeline_Revenue!G11:G19)</f>
        <v/>
      </c>
      <c r="C6" s="38">
        <f>SUM(Pipeline_Revenue!H11:H19)</f>
        <v/>
      </c>
      <c r="D6" s="38">
        <f>COUNTIF(Pipeline_Revenue!A11:A19,"Apr")</f>
        <v/>
      </c>
      <c r="E6" s="43">
        <f>TEXTJOIN(", ",TRUE,FILTER(Pipeline_Revenue!G11:G19,Pipeline_Revenue!A11:A19="Apr"))</f>
        <v/>
      </c>
      <c r="F6" s="38" t="n">
        <v>4</v>
      </c>
      <c r="G6" s="44" t="n">
        <v>0.3</v>
      </c>
      <c r="H6" s="28">
        <f>COUNTIF(Sales_Raw_Opportunities!F:F,G6)</f>
        <v/>
      </c>
      <c r="I6" s="6" t="inlineStr">
        <is>
          <t>Auto-count from raw opportunities</t>
        </is>
      </c>
    </row>
    <row r="7">
      <c r="A7" s="31" t="inlineStr">
        <is>
          <t>Proposals Submitted</t>
        </is>
      </c>
      <c r="B7" s="38">
        <f>COUNTIF(Sales_Raw_Opportunities!H:H,"Submitted")</f>
        <v/>
      </c>
      <c r="C7" s="38">
        <f>SUMIF(Sales_Raw_Opportunities!H:H,"Submitted",Sales_Raw_Opportunities!E:E)</f>
        <v/>
      </c>
      <c r="D7" s="38">
        <f>COUNTIFS(Sales_Raw_Opportunities!H:H,"Submitted",Sales_Raw_Opportunities!D:D,"Apr 2026")</f>
        <v/>
      </c>
      <c r="E7" s="43">
        <f>TEXTJOIN(" / ",TRUE,FILTER(Sales_Raw_Opportunities!A:A,(Sales_Raw_Opportunities!H:H="Submitted")*(Sales_Raw_Opportunities!D:D="Apr 2026")))</f>
        <v/>
      </c>
      <c r="F7" s="38" t="n">
        <v>2</v>
      </c>
      <c r="G7" s="44" t="n">
        <v>0.4</v>
      </c>
      <c r="H7" s="28">
        <f>COUNTIF(Sales_Raw_Opportunities!F:F,G7)</f>
        <v/>
      </c>
      <c r="I7" s="6" t="inlineStr">
        <is>
          <t>Auto-count from raw opportunities</t>
        </is>
      </c>
    </row>
    <row r="8">
      <c r="A8" s="31" t="inlineStr">
        <is>
          <t>Won This Year</t>
        </is>
      </c>
      <c r="B8" s="38">
        <f>COUNTIF(Sales_Raw_Opportunities!H:H,"Won")</f>
        <v/>
      </c>
      <c r="C8" s="38">
        <f>SUMIF(Sales_Raw_Opportunities!H:H,"Won",Sales_Raw_Opportunities!E:E)</f>
        <v/>
      </c>
      <c r="D8" s="38">
        <f>COUNTIFS(Sales_Raw_Opportunities!H:H,"Won",Sales_Raw_Opportunities!D:D,"Apr 2026")</f>
        <v/>
      </c>
      <c r="E8" s="43">
        <f>TEXTJOIN(" / ",TRUE,FILTER(Sales_Raw_Opportunities!A:A,(Sales_Raw_Opportunities!H:H="Won")*(Sales_Raw_Opportunities!D:D="Apr 2026")))</f>
        <v/>
      </c>
      <c r="F8" s="38" t="n">
        <v>0</v>
      </c>
      <c r="G8" s="44" t="n">
        <v>0.5</v>
      </c>
      <c r="H8" s="28">
        <f>COUNTIF(Sales_Raw_Opportunities!F:F,G8)</f>
        <v/>
      </c>
      <c r="I8" s="6" t="inlineStr">
        <is>
          <t>Auto-count from raw opportunities</t>
        </is>
      </c>
    </row>
    <row r="9">
      <c r="A9" s="50" t="inlineStr">
        <is>
          <t>Sales Funnel</t>
        </is>
      </c>
      <c r="G9" s="45" t="n">
        <v>0.6</v>
      </c>
      <c r="H9" s="28">
        <f>COUNTIF(Sales_Raw_Opportunities!F:F,G9)</f>
        <v/>
      </c>
      <c r="I9" s="6" t="inlineStr">
        <is>
          <t>Auto-count from raw opportunities</t>
        </is>
      </c>
    </row>
    <row r="10">
      <c r="A10" s="30" t="inlineStr">
        <is>
          <t>Stage</t>
        </is>
      </c>
      <c r="B10" s="30" t="inlineStr">
        <is>
          <t>Count</t>
        </is>
      </c>
      <c r="C10" s="30" t="inlineStr">
        <is>
          <t>Value_SAR</t>
        </is>
      </c>
      <c r="D10" s="30" t="inlineStr">
        <is>
          <t>Conversion_Rate</t>
        </is>
      </c>
      <c r="E10" s="30" t="inlineStr">
        <is>
          <t>Note</t>
        </is>
      </c>
      <c r="G10" s="45" t="n">
        <v>0.7</v>
      </c>
      <c r="H10" s="28">
        <f>COUNTIF(Sales_Raw_Opportunities!F:F,G10)</f>
        <v/>
      </c>
      <c r="I10" s="6" t="inlineStr">
        <is>
          <t>Auto-count from raw opportunities</t>
        </is>
      </c>
    </row>
    <row r="11">
      <c r="A11" s="31" t="inlineStr">
        <is>
          <t>LEADS</t>
        </is>
      </c>
      <c r="B11" s="41">
        <f>B5</f>
        <v/>
      </c>
      <c r="C11" s="41">
        <f>C5</f>
        <v/>
      </c>
      <c r="D11" s="21" t="n">
        <v>1</v>
      </c>
      <c r="E11" s="33" t="inlineStr">
        <is>
          <t>From KPI table</t>
        </is>
      </c>
      <c r="G11" s="45" t="n">
        <v>0.8</v>
      </c>
      <c r="H11" s="28">
        <f>COUNTIF(Sales_Raw_Opportunities!F:F,G11)</f>
        <v/>
      </c>
      <c r="I11" s="6" t="inlineStr">
        <is>
          <t>Auto-count from raw opportunities</t>
        </is>
      </c>
    </row>
    <row r="12">
      <c r="A12" s="31" t="inlineStr">
        <is>
          <t>ACTIVE PROPOSALS</t>
        </is>
      </c>
      <c r="B12" s="41">
        <f>B6</f>
        <v/>
      </c>
      <c r="C12" s="41">
        <f>C6</f>
        <v/>
      </c>
      <c r="D12" s="21">
        <f>IFERROR(B12/B11,0)</f>
        <v/>
      </c>
      <c r="E12" s="33" t="inlineStr">
        <is>
          <t>From KPI table</t>
        </is>
      </c>
      <c r="G12" s="45" t="n">
        <v>0.85</v>
      </c>
      <c r="H12" s="28">
        <f>COUNTIF(Sales_Raw_Opportunities!F:F,G12)</f>
        <v/>
      </c>
      <c r="I12" s="6" t="inlineStr">
        <is>
          <t>Auto-count from raw opportunities</t>
        </is>
      </c>
    </row>
    <row r="13">
      <c r="A13" s="31" t="inlineStr">
        <is>
          <t>SUBMITTED</t>
        </is>
      </c>
      <c r="B13" s="41">
        <f>B7</f>
        <v/>
      </c>
      <c r="C13" s="41">
        <f>C7</f>
        <v/>
      </c>
      <c r="D13" s="33" t="n"/>
      <c r="E13" s="33" t="inlineStr">
        <is>
          <t>Separate dashboard bucket</t>
        </is>
      </c>
      <c r="G13" s="45" t="n">
        <v>0.95</v>
      </c>
      <c r="H13" s="28">
        <f>COUNTIF(Sales_Raw_Opportunities!F:F,G13)</f>
        <v/>
      </c>
      <c r="I13" s="6" t="inlineStr">
        <is>
          <t>Auto-count from raw opportunities</t>
        </is>
      </c>
    </row>
    <row r="14">
      <c r="A14" s="31" t="inlineStr">
        <is>
          <t>WON</t>
        </is>
      </c>
      <c r="B14" s="41">
        <f>B8</f>
        <v/>
      </c>
      <c r="C14" s="41">
        <f>C8</f>
        <v/>
      </c>
      <c r="D14" s="21">
        <f>IFERROR(B14/B13,0)</f>
        <v/>
      </c>
      <c r="E14" s="33" t="inlineStr">
        <is>
          <t>From KPI table</t>
        </is>
      </c>
      <c r="G14" s="45" t="n">
        <v>1</v>
      </c>
      <c r="H14" s="28">
        <f>COUNTIF(Sales_Raw_Opportunities!F:F,G14)</f>
        <v/>
      </c>
      <c r="I14" s="6" t="inlineStr">
        <is>
          <t>Auto-count from raw opportunities</t>
        </is>
      </c>
    </row>
    <row r="15">
      <c r="A15" s="50" t="inlineStr">
        <is>
          <t>Top Clients by Proposal Value</t>
        </is>
      </c>
    </row>
    <row r="16">
      <c r="A16" s="50" t="inlineStr">
        <is>
          <t>Stage Detail Feed</t>
        </is>
      </c>
      <c r="G16" s="25" t="inlineStr">
        <is>
          <t>Rank</t>
        </is>
      </c>
      <c r="H16" s="25" t="inlineStr">
        <is>
          <t>Client</t>
        </is>
      </c>
      <c r="I16" s="25" t="inlineStr">
        <is>
          <t>Total_Value_SAR</t>
        </is>
      </c>
    </row>
    <row r="17">
      <c r="A17" s="30" t="inlineStr">
        <is>
          <t>Sales_Stage_Details</t>
        </is>
      </c>
      <c r="B17" s="30" t="inlineStr">
        <is>
          <t>Use the new Sales_Stage_Details sheet for client-level This Month / This Week breakdown shown in the dashboard.</t>
        </is>
      </c>
      <c r="G17" s="5" t="n">
        <v>1</v>
      </c>
      <c r="H17" s="46" t="inlineStr">
        <is>
          <t>Tadawul Group</t>
        </is>
      </c>
      <c r="I17" s="28">
        <f>SUMIF(Sales_Raw_Opportunities!A:A,H17,Sales_Raw_Opportunities!E:E)</f>
        <v/>
      </c>
    </row>
    <row r="18">
      <c r="A18" s="31" t="n"/>
      <c r="B18" s="42" t="n"/>
      <c r="G18" s="5" t="n"/>
      <c r="H18" s="46" t="n"/>
      <c r="I18" s="28" t="n"/>
    </row>
    <row r="19">
      <c r="A19" s="31" t="n"/>
      <c r="B19" s="42" t="n"/>
      <c r="G19" s="5" t="n"/>
      <c r="H19" s="46" t="n"/>
      <c r="I19" s="28" t="n"/>
    </row>
    <row r="20">
      <c r="A20" s="31" t="n"/>
      <c r="B20" s="42" t="n"/>
      <c r="G20" s="5" t="n"/>
      <c r="H20" s="46" t="n"/>
      <c r="I20" s="28" t="n"/>
    </row>
    <row r="21" ht="15.75" customHeight="1" s="47">
      <c r="A21" s="31" t="n"/>
      <c r="B21" s="42" t="n"/>
      <c r="G21" s="5" t="n"/>
      <c r="H21" s="46" t="n"/>
      <c r="I21" s="28" t="n"/>
    </row>
    <row r="22" ht="15.75" customHeight="1" s="47">
      <c r="G22" s="5" t="n"/>
      <c r="H22" s="46" t="n"/>
      <c r="I22" s="28" t="n"/>
    </row>
    <row r="23" ht="15.75" customHeight="1" s="47">
      <c r="G23" s="5" t="n"/>
      <c r="H23" s="46" t="n"/>
      <c r="I23" s="28" t="n"/>
    </row>
    <row r="24" ht="15.75" customHeight="1" s="47">
      <c r="A24" s="5" t="n"/>
      <c r="G24" s="5" t="n"/>
      <c r="H24" s="46" t="n"/>
      <c r="I24" s="28" t="n"/>
    </row>
    <row r="25" ht="15.75" customHeight="1" s="47">
      <c r="A25" s="6" t="inlineStr">
        <is>
          <t>Submitted proposals are stored in Sales_Raw_Opportunities.</t>
        </is>
      </c>
    </row>
    <row r="26" ht="15.75" customHeight="1" s="47">
      <c r="A26" s="6" t="inlineStr">
        <is>
          <t>Operations readiness items are stored in Sales_Raw_Operations.</t>
        </is>
      </c>
    </row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6" t="inlineStr">
        <is>
          <t>Lead</t>
        </is>
      </c>
      <c r="B1" s="6" t="inlineStr">
        <is>
          <t>Completed</t>
        </is>
      </c>
    </row>
    <row r="2">
      <c r="A2" s="6" t="inlineStr">
        <is>
          <t>Active Proposal</t>
        </is>
      </c>
      <c r="B2" s="6" t="inlineStr">
        <is>
          <t>In Process</t>
        </is>
      </c>
    </row>
    <row r="3">
      <c r="A3" s="6" t="inlineStr">
        <is>
          <t>Submitted</t>
        </is>
      </c>
      <c r="B3" s="6" t="inlineStr">
        <is>
          <t>Pending</t>
        </is>
      </c>
    </row>
    <row r="4">
      <c r="A4" s="6" t="inlineStr">
        <is>
          <t>Won</t>
        </is>
      </c>
    </row>
    <row r="5">
      <c r="A5" s="6" t="inlineStr">
        <is>
          <t>Lost</t>
        </is>
      </c>
    </row>
    <row r="6">
      <c r="A6" s="6" t="inlineStr">
        <is>
          <t>On Hold</t>
        </is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47" min="1" max="1"/>
    <col width="14" customWidth="1" style="47" min="2" max="2"/>
    <col width="24" customWidth="1" style="47" min="3" max="3"/>
    <col width="34" customWidth="1" style="47" min="4" max="4"/>
    <col width="14" customWidth="1" style="47" min="5" max="5"/>
    <col width="18" customWidth="1" style="47" min="6" max="6"/>
    <col width="52" customWidth="1" style="47" min="7" max="7"/>
  </cols>
  <sheetData>
    <row r="1">
      <c r="A1" s="51" t="inlineStr">
        <is>
          <t>Sales Stage Details</t>
        </is>
      </c>
    </row>
    <row r="2">
      <c r="A2" s="52" t="inlineStr">
        <is>
          <t>Optional detail feed used by the Sales dashboard for this month / this week breakdowns. Update rows below as needed.</t>
        </is>
      </c>
    </row>
    <row r="4">
      <c r="A4" s="53" t="inlineStr">
        <is>
          <t>Stage</t>
        </is>
      </c>
      <c r="B4" s="53" t="inlineStr">
        <is>
          <t>Period</t>
        </is>
      </c>
      <c r="C4" s="53" t="inlineStr">
        <is>
          <t>Client</t>
        </is>
      </c>
      <c r="D4" s="53" t="inlineStr">
        <is>
          <t>Opportunity</t>
        </is>
      </c>
      <c r="E4" s="53" t="inlineStr">
        <is>
          <t>Value_SAR</t>
        </is>
      </c>
      <c r="F4" s="53" t="inlineStr">
        <is>
          <t>Owner</t>
        </is>
      </c>
      <c r="G4" s="53" t="inlineStr">
        <is>
          <t>Notes</t>
        </is>
      </c>
    </row>
    <row r="5">
      <c r="A5" t="inlineStr">
        <is>
          <t>Active Proposal</t>
        </is>
      </c>
      <c r="B5" t="inlineStr">
        <is>
          <t>This Month</t>
        </is>
      </c>
      <c r="C5" t="inlineStr">
        <is>
          <t>TADAWUL</t>
        </is>
      </c>
      <c r="D5" t="inlineStr">
        <is>
          <t>Active pipeline item</t>
        </is>
      </c>
      <c r="E5" t="n">
        <v>330000</v>
      </c>
      <c r="F5" t="inlineStr"/>
      <c r="G5" t="inlineStr">
        <is>
          <t>Auto-seeded from Pipeline_Revenue</t>
        </is>
      </c>
    </row>
    <row r="6">
      <c r="A6" t="inlineStr">
        <is>
          <t>Lead</t>
        </is>
      </c>
      <c r="B6" t="inlineStr">
        <is>
          <t>This Month</t>
        </is>
      </c>
      <c r="C6" t="inlineStr"/>
      <c r="D6" t="inlineStr"/>
      <c r="E6" t="inlineStr"/>
      <c r="F6" t="inlineStr"/>
      <c r="G6" t="inlineStr">
        <is>
          <t>Add lead rows here if you want the dashboard to show client-level detail for leads.</t>
        </is>
      </c>
    </row>
    <row r="7">
      <c r="A7" t="inlineStr">
        <is>
          <t>Lead</t>
        </is>
      </c>
      <c r="B7" t="inlineStr">
        <is>
          <t>This Week</t>
        </is>
      </c>
      <c r="C7" t="inlineStr"/>
      <c r="D7" t="inlineStr"/>
      <c r="E7" t="inlineStr"/>
      <c r="F7" t="inlineStr"/>
      <c r="G7" t="inlineStr">
        <is>
          <t>Weekly detail is manual because the current raw opportunity source does not contain exact dates.</t>
        </is>
      </c>
    </row>
    <row r="8">
      <c r="A8" t="inlineStr">
        <is>
          <t>Active Proposal</t>
        </is>
      </c>
      <c r="B8" t="inlineStr">
        <is>
          <t>This Week</t>
        </is>
      </c>
      <c r="C8" t="inlineStr"/>
      <c r="D8" t="inlineStr"/>
      <c r="E8" t="inlineStr"/>
      <c r="F8" t="inlineStr"/>
      <c r="G8" t="inlineStr">
        <is>
          <t>Add weekly active proposal detail here if needed.</t>
        </is>
      </c>
    </row>
    <row r="9">
      <c r="A9" t="inlineStr">
        <is>
          <t>Submitted</t>
        </is>
      </c>
      <c r="B9" t="inlineStr">
        <is>
          <t>This Week</t>
        </is>
      </c>
      <c r="C9" t="inlineStr"/>
      <c r="D9" t="inlineStr"/>
      <c r="E9" t="inlineStr"/>
      <c r="F9" t="inlineStr"/>
      <c r="G9" t="inlineStr">
        <is>
          <t>Add weekly submitted detail here if needed.</t>
        </is>
      </c>
    </row>
    <row r="10">
      <c r="A10" t="inlineStr">
        <is>
          <t>Won</t>
        </is>
      </c>
      <c r="B10" t="inlineStr">
        <is>
          <t>This Week</t>
        </is>
      </c>
      <c r="C10" t="inlineStr"/>
      <c r="D10" t="inlineStr"/>
      <c r="E10" t="inlineStr"/>
      <c r="F10" t="inlineStr"/>
      <c r="G10" t="inlineStr">
        <is>
          <t>Add weekly won detail here if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2026-04-13T06:54:18Z</dcterms:created>
  <dcterms:modified xmlns:dcterms="http://purl.org/dc/terms/" xmlns:xsi="http://www.w3.org/2001/XMLSchema-instance" xsi:type="dcterms:W3CDTF">2026-04-13T06:54:18Z</dcterms:modified>
</cp:coreProperties>
</file>